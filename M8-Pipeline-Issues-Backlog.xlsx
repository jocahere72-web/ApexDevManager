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  <sheet name="Resumen" sheetId="2" state="visible" r:id="rId4"/>
    <sheet name="Cronograma" sheetId="3" state="visible" r:id="rId5"/>
  </sheets>
  <definedNames>
    <definedName function="false" hidden="true" localSheetId="0" name="_xlnm._FilterDatabase" vbProcedure="false">Backlog!$A$1:$L$65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<sst xmlns="http://schemas.openxmlformats.org/spreadsheetml/2006/main" count="804" uniqueCount="306">
  <si>
    <t xml:space="preserve">ID</t>
  </si>
  <si>
    <t xml:space="preserve">Epic</t>
  </si>
  <si>
    <t xml:space="preserve">Titulo</t>
  </si>
  <si>
    <t xml:space="preserve">Descripcion</t>
  </si>
  <si>
    <t xml:space="preserve">Prioridad</t>
  </si>
  <si>
    <t xml:space="preserve">Tipo</t>
  </si>
  <si>
    <t xml:space="preserve">Etapa</t>
  </si>
  <si>
    <t xml:space="preserve">RFs</t>
  </si>
  <si>
    <t xml:space="preserve">SP</t>
  </si>
  <si>
    <t xml:space="preserve">Sprint</t>
  </si>
  <si>
    <t xml:space="preserve">Depende De</t>
  </si>
  <si>
    <t xml:space="preserve">Estado</t>
  </si>
  <si>
    <t xml:space="preserve">E0</t>
  </si>
  <si>
    <t xml:space="preserve">EPIC: Correcciones Criticas y Deuda Tecnica</t>
  </si>
  <si>
    <t xml:space="preserve">Corregir los 16 bugs/issues identificados en el code review antes de implementar nuevas funcionalidades.</t>
  </si>
  <si>
    <t xml:space="preserve">CRITICAL</t>
  </si>
  <si>
    <t xml:space="preserve">0</t>
  </si>
  <si>
    <t xml:space="preserve">S5</t>
  </si>
  <si>
    <t xml:space="preserve">TODO</t>
  </si>
  <si>
    <t xml:space="preserve">ADM-301</t>
  </si>
  <si>
    <t xml:space="preserve">Unificar patron de transacciones en prd.service.ts</t>
  </si>
  <si>
    <t xml:space="preserve">Refactorizar todas las funciones del servicio para usar un unico patron: dbClient inyectado por middleware. Eliminar getClient() manual y mezcla de client/txClient. Corrige BUG-01, BUG-02, BUG-04, BUG-05.</t>
  </si>
  <si>
    <t xml:space="preserve">Bug Fix</t>
  </si>
  <si>
    <t xml:space="preserve">5</t>
  </si>
  <si>
    <t xml:space="preserve">ADM-302</t>
  </si>
  <si>
    <t xml:space="preserve">Bloquear exportacion con blockers sin resolver</t>
  </si>
  <si>
    <t xml:space="preserve">Agregar validacion en exportPRD() que verifique validation_blockers === 0 antes de permitir exportacion. Corrige BUG-06.</t>
  </si>
  <si>
    <t xml:space="preserve">HIGH</t>
  </si>
  <si>
    <t xml:space="preserve">2</t>
  </si>
  <si>
    <t xml:space="preserve">ADM-303</t>
  </si>
  <si>
    <t xml:space="preserve">Corregir limites de upload (25MB, 10 archivos, 100MB total)</t>
  </si>
  <si>
    <t xml:space="preserve">Cambiar fileSize max a 25MB en UploadSourceSchema. Agregar validacion de max 10 archivos por sesion y 100MB total. Agregar MIME types de imagen. Corrige BUG-08, BUG-09.</t>
  </si>
  <si>
    <t xml:space="preserve">ADM-304</t>
  </si>
  <si>
    <t xml:space="preserve">Corregir regeneracion individual de secciones</t>
  </si>
  <si>
    <t xml:space="preserve">handleRegenerateSection debe regenerar solo la seccion seleccionada, no todas. Agregar endpoint PATCH sections/:id/regenerate. Corrige BUG-10.</t>
  </si>
  <si>
    <t xml:space="preserve">3</t>
  </si>
  <si>
    <t xml:space="preserve">ADM-305</t>
  </si>
  <si>
    <t xml:space="preserve">Eliminar frontend duplicado y upload mock</t>
  </si>
  <si>
    <t xml:space="preserve">Eliminar index.tsx duplicado (usar PRDSessionList con React Query). Implementar file picker real en PRDWorkspace. Corrige BUG-11, BUG-12, BUG-13.</t>
  </si>
  <si>
    <t xml:space="preserve">MEDIUM</t>
  </si>
  <si>
    <t xml:space="preserve">ADM-306</t>
  </si>
  <si>
    <t xml:space="preserve">Agregar validacion de navegacion entre etapas</t>
  </si>
  <si>
    <t xml:space="preserve">Deshabilitar steps del stepper que no cumplen precondiciones. No permitir avanzar sin completar la etapa actual. Corrige BUG-14.</t>
  </si>
  <si>
    <t xml:space="preserve">ADM-307</t>
  </si>
  <si>
    <t xml:space="preserve">Agregar ownership validation y rate limiting</t>
  </si>
  <si>
    <t xml:space="preserve">Verificar que el usuario es owner/miembro de la sesion. Agregar rate limiting por tenant en endpoints de IA (Bottleneck). Corrige SEC-01, SEC-02.</t>
  </si>
  <si>
    <t xml:space="preserve">ADM-308</t>
  </si>
  <si>
    <t xml:space="preserve">Externalizar prompts a archivos</t>
  </si>
  <si>
    <t xml:space="preserve">Mover todos los prompts hardcodeados del servicio a /app/prompts/pipeline/. Crear prompt.loader.ts. Corrige ARCH-02.</t>
  </si>
  <si>
    <t xml:space="preserve">Refactor</t>
  </si>
  <si>
    <t xml:space="preserve">ADM-309</t>
  </si>
  <si>
    <t xml:space="preserve">Escribir tests unitarios del servicio actual</t>
  </si>
  <si>
    <t xml:space="preserve">Tests para: createSession, uploadSource, extractRequirements, generateSections, validatePRD, exportPRD, updateSection. Minimo 80% cobertura de prd.service.ts.</t>
  </si>
  <si>
    <t xml:space="preserve">Test</t>
  </si>
  <si>
    <t xml:space="preserve">E1</t>
  </si>
  <si>
    <t xml:space="preserve">EPIC: Etapa 1 — Carga de Requerimientos</t>
  </si>
  <si>
    <t xml:space="preserve">Implementar ingesta real de documentos, parsing, normalizacion a Issue Profile, y preguntas de clarificacion.</t>
  </si>
  <si>
    <t xml:space="preserve">1</t>
  </si>
  <si>
    <t xml:space="preserve">RF-50 a RF-55</t>
  </si>
  <si>
    <t xml:space="preserve">ADM-310</t>
  </si>
  <si>
    <t xml:space="preserve">Implementar parsing real de documentos</t>
  </si>
  <si>
    <t xml:space="preserve">Integrar mammoth (.docx), pdf-parse (.pdf), Claude Vision (.png/.jpg/.webp), y texto directo. Implementar chunking 4000 tokens con 200 overlap. Downscale imagenes a 2048px.</t>
  </si>
  <si>
    <t xml:space="preserve">Feature</t>
  </si>
  <si>
    <t xml:space="preserve">RF-50, RF-51, RF-55</t>
  </si>
  <si>
    <t xml:space="preserve">8</t>
  </si>
  <si>
    <t xml:space="preserve">ADM-311</t>
  </si>
  <si>
    <t xml:space="preserve">Generar Issue Profile desde contenido parseado</t>
  </si>
  <si>
    <t xml:space="preserve">Claude analiza chunks y genera Issue Profile: titulo, descripcion, tipo (con confianza), actores, modulos, tablas, restricciones, prioridad sugerida. Persistir en prd_sessions.issue_profile (JSONB).</t>
  </si>
  <si>
    <t xml:space="preserve">RF-52, RF-53</t>
  </si>
  <si>
    <t xml:space="preserve">ADM-312</t>
  </si>
  <si>
    <t xml:space="preserve">Implementar preguntas de clarificacion</t>
  </si>
  <si>
    <t xml:space="preserve">Validar completitud del Issue Profile. Si faltan campos criticos, generar preguntas agrupadas por categoria (que/por que/para quien/donde/restricciones). Endpoint POST /clarify para responder y regenerar profile.</t>
  </si>
  <si>
    <t xml:space="preserve">RF-54</t>
  </si>
  <si>
    <t xml:space="preserve">ADM-313</t>
  </si>
  <si>
    <t xml:space="preserve">UI de carga con drag-and-drop real</t>
  </si>
  <si>
    <t xml:space="preserve">Componente IngestStage con drag-and-drop (react-dropzone), preview de archivos, barra de progreso de parsing, y visualizacion del Issue Profile generado.</t>
  </si>
  <si>
    <t xml:space="preserve">RF-50</t>
  </si>
  <si>
    <t xml:space="preserve">ADM-314</t>
  </si>
  <si>
    <t xml:space="preserve">Tests de Etapa 1</t>
  </si>
  <si>
    <t xml:space="preserve">Tests unitarios: parser.service (mock de mammoth/pdf-parse), stage1 service (generacion de profile, preguntas). Tests de integracion: endpoint /ingest, /profile, /clarify.</t>
  </si>
  <si>
    <t xml:space="preserve">E2</t>
  </si>
  <si>
    <t xml:space="preserve">EPIC: Etapa 2 — Generacion del PRD</t>
  </si>
  <si>
    <t xml:space="preserve">Completar generacion de PRD con modelo de extraccion APEX/GENESYS, 10 secciones, streaming SSE, validacion y preguntas de refinamiento.</t>
  </si>
  <si>
    <t xml:space="preserve">RF-56 a RF-65</t>
  </si>
  <si>
    <t xml:space="preserve">ADM-315</t>
  </si>
  <si>
    <t xml:space="preserve">Alinear modelo de extraccion a dominio APEX/GENESYS</t>
  </si>
  <si>
    <t xml:space="preserve">Reemplazar extraccion generica (goals/features/personas) por entidades del dominio: actors, flows, business_rules, apex_pages, genesys_tables. Cada entidad con score de confianza.</t>
  </si>
  <si>
    <t xml:space="preserve">RF-59</t>
  </si>
  <si>
    <t xml:space="preserve">ADM-316</t>
  </si>
  <si>
    <t xml:space="preserve">Alinear 10 secciones del PRD al documento de referencia</t>
  </si>
  <si>
    <t xml:space="preserve">Reemplazar 12 secciones genericas por las 10 del PRD: contexto, actores, flujos, RF, RNF, modelo de datos, paginas APEX, reglas de negocio, integraciones, preguntas abiertas. Leer estructura del documento de referencia, no hardcodear.</t>
  </si>
  <si>
    <t xml:space="preserve">RF-56, RF-57</t>
  </si>
  <si>
    <t xml:space="preserve">ADM-317</t>
  </si>
  <si>
    <t xml:space="preserve">Implementar streaming SSE para generacion</t>
  </si>
  <si>
    <t xml:space="preserve">Generar PRD con SSE: evento por seccion completada, barra de progreso, timeout de 60 seg. Crear sse.helper.ts.</t>
  </si>
  <si>
    <t xml:space="preserve">RF-58</t>
  </si>
  <si>
    <t xml:space="preserve">ADM-318</t>
  </si>
  <si>
    <t xml:space="preserve">Crear migracion y servicio de prd_validation_results</t>
  </si>
  <si>
    <t xml:space="preserve">Migracion 019 para tabla prd_validation_results. Persistir 10 checks individuales (VAL-01 a VAL-10) con tipo blocker/warning.</t>
  </si>
  <si>
    <t xml:space="preserve">RF-60</t>
  </si>
  <si>
    <t xml:space="preserve">ADM-319</t>
  </si>
  <si>
    <t xml:space="preserve">Implementar sistema de preguntas de refinamiento</t>
  </si>
  <si>
    <t xml:space="preserve">Por cada criterio fallido, generar pregunta asociada a la seccion. Endpoint POST /questions/:qId/answer. Revalidacion parcial solo de la seccion afectada tras respuesta.</t>
  </si>
  <si>
    <t xml:space="preserve">RF-61</t>
  </si>
  <si>
    <t xml:space="preserve">ADM-320</t>
  </si>
  <si>
    <t xml:space="preserve">Implementar gate de aprobacion de PRD</t>
  </si>
  <si>
    <t xml:space="preserve">Score umbral configurable por tenant (default 70). Bloquear avance a etapa 3 si hay blockers o score &lt; umbral. Numeracion consecutiva de RFs desde ultimo del doc de referencia.</t>
  </si>
  <si>
    <t xml:space="preserve">RF-62, RF-64</t>
  </si>
  <si>
    <t xml:space="preserve">ADM-321</t>
  </si>
  <si>
    <t xml:space="preserve">UI de PRD Stage con editor y validacion</t>
  </si>
  <si>
    <t xml:space="preserve">Componente PRDStage: vista de secciones editables, panel de validacion con checks, panel de preguntas, score en tiempo real. Regeneracion individual por seccion.</t>
  </si>
  <si>
    <t xml:space="preserve">RF-63</t>
  </si>
  <si>
    <t xml:space="preserve">ADM-322</t>
  </si>
  <si>
    <t xml:space="preserve">Tests de Etapa 2</t>
  </si>
  <si>
    <t xml:space="preserve">Tests unitarios: stage2 service, validacion, preguntas. Tests de integracion: flujo generate -&gt; validate -&gt; questions -&gt; revalidate -&gt; approve.</t>
  </si>
  <si>
    <t xml:space="preserve">E3</t>
  </si>
  <si>
    <t xml:space="preserve">EPIC: Etapa 3 — Analisis de Impacto y Diseno</t>
  </si>
  <si>
    <t xml:space="preserve">Implementar codebase scanner, analisis de dependencias, impacto, factibilidad, estimacion y generacion de blueprint.</t>
  </si>
  <si>
    <t xml:space="preserve">RF-66 a RF-71</t>
  </si>
  <si>
    <t xml:space="preserve">S6</t>
  </si>
  <si>
    <t xml:space="preserve">ADM-323</t>
  </si>
  <si>
    <t xml:space="preserve">Implementar codebase scanner</t>
  </si>
  <si>
    <t xml:space="preserve">Servicio que parsea el codebase (ts-morph): extrae modulos con archivos, rutas de API registradas, migraciones con numeracion, tablas con columnas/FKs, tipos exportados de shared-types.</t>
  </si>
  <si>
    <t xml:space="preserve">RF-66</t>
  </si>
  <si>
    <t xml:space="preserve">ADM-324</t>
  </si>
  <si>
    <t xml:space="preserve">Implementar analisis de dependencias e impacto</t>
  </si>
  <si>
    <t xml:space="preserve">Claude + scanner: generar grafo de dependencias, clasificar componentes como NEW/MODIFIED, evaluar riesgo (LOW/MEDIUM/HIGH) por componente basado en cantidad de cambio, dependencias y presencia de tests.</t>
  </si>
  <si>
    <t xml:space="preserve">RF-66, RF-67</t>
  </si>
  <si>
    <t xml:space="preserve">ADM-325</t>
  </si>
  <si>
    <t xml:space="preserve">Implementar validacion de factibilidad tecnica</t>
  </si>
  <si>
    <t xml:space="preserve">Verificar: colisiones de rutas API, conflictos de naming de tablas, FKs validas, numeracion de migraciones, soporte del stack.</t>
  </si>
  <si>
    <t xml:space="preserve">RF-68</t>
  </si>
  <si>
    <t xml:space="preserve">ADM-326</t>
  </si>
  <si>
    <t xml:space="preserve">Generar Implementation Blueprint</t>
  </si>
  <si>
    <t xml:space="preserve">Crear work items secuenciados con dependencias, estimacion en SP, grupos paralelizables, y risk level total. Persistir en pipeline_analysis + pipeline_work_items. Migraciones 020, 021, 022.</t>
  </si>
  <si>
    <t xml:space="preserve">RF-70, RF-71</t>
  </si>
  <si>
    <t xml:space="preserve">ADM-327</t>
  </si>
  <si>
    <t xml:space="preserve">Estimacion de esfuerzo por work item</t>
  </si>
  <si>
    <t xml:space="preserve">Metricas de proyecto: SP por tipo de artefacto (migracion, endpoint, componente, pagina APEX). Duracion estimada total.</t>
  </si>
  <si>
    <t xml:space="preserve">RF-69</t>
  </si>
  <si>
    <t xml:space="preserve">ADM-328</t>
  </si>
  <si>
    <t xml:space="preserve">UI de Analysis Stage</t>
  </si>
  <si>
    <t xml:space="preserve">Componente AnalysisStage: visualizacion de grafo de dependencias (D3/Mermaid), tabla de impacto con colores por riesgo, blueprint editable (reordenar, excluir items).</t>
  </si>
  <si>
    <t xml:space="preserve">ADM-329</t>
  </si>
  <si>
    <t xml:space="preserve">Tests de Etapa 3</t>
  </si>
  <si>
    <t xml:space="preserve">Tests unitarios: codebase scanner (fixtures), analisis de impacto. Tests de integracion: flujo analyze -&gt; blueprint -&gt; approve.</t>
  </si>
  <si>
    <t xml:space="preserve">E4</t>
  </si>
  <si>
    <t xml:space="preserve">EPIC: Etapa 4 — Construccion</t>
  </si>
  <si>
    <t xml:space="preserve">Implementar generacion de codigo (migraciones, backend, frontend, APEX) con verificacion de build y revision de diffs.</t>
  </si>
  <si>
    <t xml:space="preserve">4</t>
  </si>
  <si>
    <t xml:space="preserve">RF-72 a RF-77</t>
  </si>
  <si>
    <t xml:space="preserve">ADM-330</t>
  </si>
  <si>
    <t xml:space="preserve">Generacion de migraciones de BD</t>
  </si>
  <si>
    <t xml:space="preserve">Generar archivos TypeScript de migracion con up()/down(), RLS, indexes, CHECK constraints siguiendo convenciones existentes. Numeracion automatica.</t>
  </si>
  <si>
    <t xml:space="preserve">RF-72</t>
  </si>
  <si>
    <t xml:space="preserve">ADM-331</t>
  </si>
  <si>
    <t xml:space="preserve">Generacion de servicios backend</t>
  </si>
  <si>
    <t xml:space="preserve">Generar controller (Express + Zod) + service (logica + SQL) + validation (schemas Zod separados) + types (shared-types). Patron consistente con proyecto.</t>
  </si>
  <si>
    <t xml:space="preserve">RF-73</t>
  </si>
  <si>
    <t xml:space="preserve">ADM-332</t>
  </si>
  <si>
    <t xml:space="preserve">Generacion de componentes frontend</t>
  </si>
  <si>
    <t xml:space="preserve">Generar componentes React + TypeScript, hooks React Query, API client tipado. Sin estilos inline, usar sistema de estilos del proyecto.</t>
  </si>
  <si>
    <t xml:space="preserve">RF-74</t>
  </si>
  <si>
    <t xml:space="preserve">ADM-333</t>
  </si>
  <si>
    <t xml:space="preserve">Integracion con M5 para paginas APEX</t>
  </si>
  <si>
    <t xml:space="preserve">Cuando PRD incluye paginas APEX, crear jobs automaticos en M5 (PRD-to-Page). Monitorear estado del job y reportar resultado.</t>
  </si>
  <si>
    <t xml:space="preserve">RF-75</t>
  </si>
  <si>
    <t xml:space="preserve">ADM-334</t>
  </si>
  <si>
    <t xml:space="preserve">Verificacion de build y diff viewer</t>
  </si>
  <si>
    <t xml:space="preserve">Ejecutar compilacion del monorepo post-generacion. Mostrar errores y ofrecer correccion automatica. UI con diff viewer por artefacto (approve/reject individual).</t>
  </si>
  <si>
    <t xml:space="preserve">RF-76, RF-77</t>
  </si>
  <si>
    <t xml:space="preserve">ADM-335</t>
  </si>
  <si>
    <t xml:space="preserve">Migracion de pipeline_artifacts</t>
  </si>
  <si>
    <t xml:space="preserve">Migracion 023 para tabla pipeline_artifacts. Persistir artefactos con contenido, diff, tipo, version, estado de aprobacion.</t>
  </si>
  <si>
    <t xml:space="preserve">ADM-336</t>
  </si>
  <si>
    <t xml:space="preserve">Tests de Etapa 4</t>
  </si>
  <si>
    <t xml:space="preserve">Tests unitarios: generacion de migraciones, servicios, componentes (verificar output valido). Tests de integracion: flujo build -&gt; artifacts -&gt; approve.</t>
  </si>
  <si>
    <t xml:space="preserve">E5</t>
  </si>
  <si>
    <t xml:space="preserve">EPIC: Etapa 5 — Pruebas</t>
  </si>
  <si>
    <t xml:space="preserve">Implementar generacion de tests desde criterios de aceptacion, ejecucion de suite, reporte de cobertura y auto-correccion.</t>
  </si>
  <si>
    <t xml:space="preserve">RF-78 a RF-82</t>
  </si>
  <si>
    <t xml:space="preserve">S7</t>
  </si>
  <si>
    <t xml:space="preserve">ADM-337</t>
  </si>
  <si>
    <t xml:space="preserve">Generacion de tests unitarios desde criterios de aceptacion</t>
  </si>
  <si>
    <t xml:space="preserve">Por cada criterio Given/When/Then del PRD, generar al menos un test case. Tests para servicios, validaciones, funciones puras.</t>
  </si>
  <si>
    <t xml:space="preserve">RF-78</t>
  </si>
  <si>
    <t xml:space="preserve">ADM-338</t>
  </si>
  <si>
    <t xml:space="preserve">Generacion de tests de integracion</t>
  </si>
  <si>
    <t xml:space="preserve">Por cada endpoint nuevo/modificado, generar tests de request/response incluyendo RLS, permisos, edge cases.</t>
  </si>
  <si>
    <t xml:space="preserve">RF-79</t>
  </si>
  <si>
    <t xml:space="preserve">ADM-339</t>
  </si>
  <si>
    <t xml:space="preserve">Ejecucion de suite completa con regresion</t>
  </si>
  <si>
    <t xml:space="preserve">Ejecutar tests generados + tests existentes de modulos afectados (del analisis de impacto). Streaming SSE con resultados en tiempo real.</t>
  </si>
  <si>
    <t xml:space="preserve">RF-80</t>
  </si>
  <si>
    <t xml:space="preserve">ADM-340</t>
  </si>
  <si>
    <t xml:space="preserve">Reporte de cobertura con trazabilidad</t>
  </si>
  <si>
    <t xml:space="preserve">Mapeo RF -&gt; Criterio de Aceptacion -&gt; Test -&gt; Resultado. Identificar RFs sin cobertura. Migracion 024 para pipeline_test_results.</t>
  </si>
  <si>
    <t xml:space="preserve">RF-81</t>
  </si>
  <si>
    <t xml:space="preserve">ADM-341</t>
  </si>
  <si>
    <t xml:space="preserve">Auto-correccion de tests fallidos</t>
  </si>
  <si>
    <t xml:space="preserve">Si un test falla, Claude analiza error y propone correccion (del codigo o del test). Max 3 intentos antes de escalar al usuario.</t>
  </si>
  <si>
    <t xml:space="preserve">RF-82</t>
  </si>
  <si>
    <t xml:space="preserve">ADM-342</t>
  </si>
  <si>
    <t xml:space="preserve">UI de Test Stage</t>
  </si>
  <si>
    <t xml:space="preserve">Componente TestStage: resultados en tiempo real, tabla de trazabilidad RF-&gt;test, indicador de cobertura, boton de auto-fix.</t>
  </si>
  <si>
    <t xml:space="preserve">ADM-343</t>
  </si>
  <si>
    <t xml:space="preserve">Tests de Etapa 5 (meta-tests)</t>
  </si>
  <si>
    <t xml:space="preserve">Verificar que la generacion de tests produce tests validos y ejecutables. Test de integracion del flujo generate -&gt; run -&gt; report.</t>
  </si>
  <si>
    <t xml:space="preserve">E6</t>
  </si>
  <si>
    <t xml:space="preserve">EPIC: Etapa 6 — Documentacion</t>
  </si>
  <si>
    <t xml:space="preserve">Implementar generacion automatica de documentacion, actualizacion de PRD de referencia, changelog, OpenAPI, release notes y guia de rollback.</t>
  </si>
  <si>
    <t xml:space="preserve">6</t>
  </si>
  <si>
    <t xml:space="preserve">RF-83 a RF-87</t>
  </si>
  <si>
    <t xml:space="preserve">ADM-344</t>
  </si>
  <si>
    <t xml:space="preserve">Actualizacion automatica del documento de referencia</t>
  </si>
  <si>
    <t xml:space="preserve">Generar diff para actualizar PRD v5.1 con nuevos RFs, endpoints, tablas y criterios. Aplicar como diff, no reescritura.</t>
  </si>
  <si>
    <t xml:space="preserve">RF-83</t>
  </si>
  <si>
    <t xml:space="preserve">ADM-345</t>
  </si>
  <si>
    <t xml:space="preserve">Generacion de changelog y release notes</t>
  </si>
  <si>
    <t xml:space="preserve">Changelog del modulo con tipo de cambio, RFs, breaking changes. Release notes resumidas para stakeholders.</t>
  </si>
  <si>
    <t xml:space="preserve">RF-84, RF-86</t>
  </si>
  <si>
    <t xml:space="preserve">ADM-346</t>
  </si>
  <si>
    <t xml:space="preserve">Generacion de documentacion OpenAPI</t>
  </si>
  <si>
    <t xml:space="preserve">OpenAPI 3.0 spec para endpoints nuevos/modificados. Incluir schemas, responses, ejemplos.</t>
  </si>
  <si>
    <t xml:space="preserve">RF-85</t>
  </si>
  <si>
    <t xml:space="preserve">ADM-347</t>
  </si>
  <si>
    <t xml:space="preserve">Generacion de guia de rollback</t>
  </si>
  <si>
    <t xml:space="preserve">Pasos para revertir cada artefacto: migraciones down, codigo a revertir, configuracion a restaurar.</t>
  </si>
  <si>
    <t xml:space="preserve">RF-87</t>
  </si>
  <si>
    <t xml:space="preserve">ADM-348</t>
  </si>
  <si>
    <t xml:space="preserve">Migracion de pipeline_documents y completitud</t>
  </si>
  <si>
    <t xml:space="preserve">Migracion 025 para pipeline_documents. Endpoint POST /complete para marcar pipeline terminado. Evento PIPELINE_COMPLETED.</t>
  </si>
  <si>
    <t xml:space="preserve">ADM-349</t>
  </si>
  <si>
    <t xml:space="preserve">UI de Docs Stage</t>
  </si>
  <si>
    <t xml:space="preserve">Componente DocsStage: preview de cada documento, approve/reject individual, boton de completar pipeline.</t>
  </si>
  <si>
    <t xml:space="preserve">ADM-350</t>
  </si>
  <si>
    <t xml:space="preserve">Tests de Etapa 6</t>
  </si>
  <si>
    <t xml:space="preserve">Tests de generacion de docs, actualizacion de referencia (verificar diff correcto), completitud del pipeline.</t>
  </si>
  <si>
    <t xml:space="preserve">E7</t>
  </si>
  <si>
    <t xml:space="preserve">EPIC: Pipeline Orchestration y UX Transversal</t>
  </si>
  <si>
    <t xml:space="preserve">Orquestador del pipeline, sistema de eventos, migracion de prd_sessions, y componentes compartidos de UI.</t>
  </si>
  <si>
    <t xml:space="preserve">ALL</t>
  </si>
  <si>
    <t xml:space="preserve">S5-S6</t>
  </si>
  <si>
    <t xml:space="preserve">ADM-351</t>
  </si>
  <si>
    <t xml:space="preserve">Migracion de prd_sessions para pipeline</t>
  </si>
  <si>
    <t xml:space="preserve">Migracion 020: agregar current_stage, stage_X_status (x6), issue_profile (JSONB), blueprint (JSONB), completed_at. Modificar CHECK de status.</t>
  </si>
  <si>
    <t xml:space="preserve">ADM-352</t>
  </si>
  <si>
    <t xml:space="preserve">Implementar pipeline.service.ts (orquestador)</t>
  </si>
  <si>
    <t xml:space="preserve">Servicio central: createSession, advanceStage (con validacion de gates), revertStage, completeSession. Delega a stage services.</t>
  </si>
  <si>
    <t xml:space="preserve">ADM-353</t>
  </si>
  <si>
    <t xml:space="preserve">Implementar sistema de eventos de dominio</t>
  </si>
  <si>
    <t xml:space="preserve">EventEmitter con eventos tipados (ISSUE_PROFILE_READY, PRD_APPROVED, etc). Integracion con M7 Activity Log. pipeline.events.ts.</t>
  </si>
  <si>
    <t xml:space="preserve">ADM-354</t>
  </si>
  <si>
    <t xml:space="preserve">Pipeline controller unificado</t>
  </si>
  <si>
    <t xml:space="preserve">Refactorizar prd.controller.ts en pipeline.controller.ts con todas las rutas bajo /api/prd-builder/. Rutas alineadas al PRD v2.0.</t>
  </si>
  <si>
    <t xml:space="preserve">ADM-355</t>
  </si>
  <si>
    <t xml:space="preserve">PipelineWizard y componentes compartidos</t>
  </si>
  <si>
    <t xml:space="preserve">Stepper de 6 etapas con gates, SSEProgress, StageGate, PipelineSessionList con filtros por stage y status.</t>
  </si>
  <si>
    <t xml:space="preserve">ADM-356</t>
  </si>
  <si>
    <t xml:space="preserve">Shared types del pipeline</t>
  </si>
  <si>
    <t xml:space="preserve">Nuevo archivo pipeline.ts en shared-types con todos los tipos: PipelineSession, IssueProfile, WorkItem, Artifact, TestResult, etc.</t>
  </si>
  <si>
    <t xml:space="preserve">Nombre</t>
  </si>
  <si>
    <t xml:space="preserve">Issues</t>
  </si>
  <si>
    <t xml:space="preserve">Story Points</t>
  </si>
  <si>
    <t xml:space="preserve">Dependencias</t>
  </si>
  <si>
    <t xml:space="preserve">Correcciones Criticas y Deuda Tecnica</t>
  </si>
  <si>
    <t xml:space="preserve">-</t>
  </si>
  <si>
    <t xml:space="preserve">Etapa 1 — Carga de Requerimientos</t>
  </si>
  <si>
    <t xml:space="preserve">Etapa 2 — Generacion del PRD</t>
  </si>
  <si>
    <t xml:space="preserve">Etapa 3 — Analisis de Impacto y Diseno</t>
  </si>
  <si>
    <t xml:space="preserve">Etapa 4 — Construccion</t>
  </si>
  <si>
    <t xml:space="preserve">Etapa 5 — Pruebas</t>
  </si>
  <si>
    <t xml:space="preserve">Etapa 6 — Documentacion</t>
  </si>
  <si>
    <t xml:space="preserve">Pipeline Orchestration y UX Transversal</t>
  </si>
  <si>
    <t xml:space="preserve">TOTAL</t>
  </si>
  <si>
    <t xml:space="preserve">Fase</t>
  </si>
  <si>
    <t xml:space="preserve">Semanas</t>
  </si>
  <si>
    <t xml:space="preserve">Epics</t>
  </si>
  <si>
    <t xml:space="preserve">Foco</t>
  </si>
  <si>
    <t xml:space="preserve">Entregable Clave</t>
  </si>
  <si>
    <t xml:space="preserve">Fase 0</t>
  </si>
  <si>
    <t xml:space="preserve">S5 (sem 1-2)</t>
  </si>
  <si>
    <t xml:space="preserve">Correccion de bugs criticos y deuda tecnica</t>
  </si>
  <si>
    <t xml:space="preserve">M8 actual estable con tests</t>
  </si>
  <si>
    <t xml:space="preserve">Fase 1</t>
  </si>
  <si>
    <t xml:space="preserve">S5 (sem 3-4)</t>
  </si>
  <si>
    <t xml:space="preserve">E7 + E1</t>
  </si>
  <si>
    <t xml:space="preserve">Infraestructura del pipeline + Etapa 1 completa</t>
  </si>
  <si>
    <t xml:space="preserve">Orquestador + Carga de requerimientos funcional</t>
  </si>
  <si>
    <t xml:space="preserve">Fase 2</t>
  </si>
  <si>
    <t xml:space="preserve">S5 (sem 5-6)</t>
  </si>
  <si>
    <t xml:space="preserve">Etapa 2 completa (PRD generation)</t>
  </si>
  <si>
    <t xml:space="preserve">PRD generation con validacion y preguntas</t>
  </si>
  <si>
    <t xml:space="preserve">Fase 3</t>
  </si>
  <si>
    <t xml:space="preserve">S6 (sem 1-2)</t>
  </si>
  <si>
    <t xml:space="preserve">Etapa 3 (Analisis de impacto)</t>
  </si>
  <si>
    <t xml:space="preserve">Codebase scanner + Blueprint generator</t>
  </si>
  <si>
    <t xml:space="preserve">Fase 4</t>
  </si>
  <si>
    <t xml:space="preserve">S6 (sem 3-6)</t>
  </si>
  <si>
    <t xml:space="preserve">Etapa 4 (Construccion)</t>
  </si>
  <si>
    <t xml:space="preserve">Generacion de codigo funcional</t>
  </si>
  <si>
    <t xml:space="preserve">Fase 5</t>
  </si>
  <si>
    <t xml:space="preserve">S7 (sem 1-3)</t>
  </si>
  <si>
    <t xml:space="preserve">E5 + E6</t>
  </si>
  <si>
    <t xml:space="preserve">Etapas 5-6 (Pruebas + Documentacion)</t>
  </si>
  <si>
    <t xml:space="preserve">Pipeline end-to-end funcional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</si>
</sst>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8EEF4"/>
        <bgColor rgb="FFFFFFFF"/>
      </patternFill>
    </fill>
    <fill>
      <patternFill patternType="solid">
        <fgColor rgb="FFFFCCCC"/>
        <bgColor rgb="FFFFE0CC"/>
      </patternFill>
    </fill>
    <fill>
      <patternFill patternType="solid">
        <fgColor rgb="FFFFE0CC"/>
        <bgColor rgb="FFFFCCCC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3A5C"/>
          <bgColor rgb="FF000000"/>
        </patternFill>
      </fill>
    </dxf>
    <dxf>
      <fill>
        <patternFill patternType="solid">
          <fgColor rgb="FFE8EE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E0CC"/>
          <bgColor rgb="FF000000"/>
        </patternFill>
      </fill>
    </dxf>
    <dxf>
      <fill>
        <patternFill patternType="solid">
          <fgColor rgb="FFFFFF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8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0CC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40"/>
    <col collapsed="false" customWidth="true" hidden="false" outlineLevel="0" max="4" min="4" style="0" width="65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5"/>
    <col collapsed="false" customWidth="true" hidden="false" outlineLevel="0" max="10" min="10" style="0" width="8"/>
    <col collapsed="false" customWidth="true" hidden="false" outlineLevel="0" max="11" min="11" style="0" width="12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3.85" hidden="false" customHeight="false" outlineLevel="0" collapsed="false">
      <c r="A2" s="2"/>
      <c r="B2" s="2" t="s">
        <v>12</v>
      </c>
      <c r="C2" s="2" t="s">
        <v>13</v>
      </c>
      <c r="D2" s="2" t="s">
        <v>14</v>
      </c>
      <c r="E2" s="2" t="s">
        <v>15</v>
      </c>
      <c r="F2" s="2" t="s">
        <v>1</v>
      </c>
      <c r="G2" s="2" t="s">
        <v>16</v>
      </c>
      <c r="H2" s="2"/>
      <c r="I2" s="2"/>
      <c r="J2" s="2" t="s">
        <v>17</v>
      </c>
      <c r="K2" s="2"/>
      <c r="L2" s="2" t="s">
        <v>18</v>
      </c>
    </row>
    <row r="3" customFormat="false" ht="35.05" hidden="false" customHeight="false" outlineLevel="0" collapsed="false">
      <c r="A3" s="3" t="s">
        <v>19</v>
      </c>
      <c r="B3" s="3" t="s">
        <v>12</v>
      </c>
      <c r="C3" s="3" t="s">
        <v>20</v>
      </c>
      <c r="D3" s="3" t="s">
        <v>21</v>
      </c>
      <c r="E3" s="4" t="s">
        <v>15</v>
      </c>
      <c r="F3" s="3" t="s">
        <v>22</v>
      </c>
      <c r="G3" s="3" t="s">
        <v>16</v>
      </c>
      <c r="H3" s="3"/>
      <c r="I3" s="3" t="s">
        <v>23</v>
      </c>
      <c r="J3" s="3" t="s">
        <v>17</v>
      </c>
      <c r="K3" s="3"/>
      <c r="L3" s="3" t="s">
        <v>18</v>
      </c>
    </row>
    <row r="4" customFormat="false" ht="23.85" hidden="false" customHeight="false" outlineLevel="0" collapsed="false">
      <c r="A4" s="3" t="s">
        <v>24</v>
      </c>
      <c r="B4" s="3" t="s">
        <v>12</v>
      </c>
      <c r="C4" s="3" t="s">
        <v>25</v>
      </c>
      <c r="D4" s="3" t="s">
        <v>26</v>
      </c>
      <c r="E4" s="5" t="s">
        <v>27</v>
      </c>
      <c r="F4" s="3" t="s">
        <v>22</v>
      </c>
      <c r="G4" s="3" t="s">
        <v>16</v>
      </c>
      <c r="H4" s="3"/>
      <c r="I4" s="3" t="s">
        <v>28</v>
      </c>
      <c r="J4" s="3" t="s">
        <v>17</v>
      </c>
      <c r="K4" s="3"/>
      <c r="L4" s="3" t="s">
        <v>18</v>
      </c>
    </row>
    <row r="5" customFormat="false" ht="35.05" hidden="false" customHeight="false" outlineLevel="0" collapsed="false">
      <c r="A5" s="3" t="s">
        <v>29</v>
      </c>
      <c r="B5" s="3" t="s">
        <v>12</v>
      </c>
      <c r="C5" s="3" t="s">
        <v>30</v>
      </c>
      <c r="D5" s="3" t="s">
        <v>31</v>
      </c>
      <c r="E5" s="5" t="s">
        <v>27</v>
      </c>
      <c r="F5" s="3" t="s">
        <v>22</v>
      </c>
      <c r="G5" s="3" t="s">
        <v>16</v>
      </c>
      <c r="H5" s="3"/>
      <c r="I5" s="3" t="s">
        <v>28</v>
      </c>
      <c r="J5" s="3" t="s">
        <v>17</v>
      </c>
      <c r="K5" s="3"/>
      <c r="L5" s="3" t="s">
        <v>18</v>
      </c>
    </row>
    <row r="6" customFormat="false" ht="23.85" hidden="false" customHeight="false" outlineLevel="0" collapsed="false">
      <c r="A6" s="3" t="s">
        <v>32</v>
      </c>
      <c r="B6" s="3" t="s">
        <v>12</v>
      </c>
      <c r="C6" s="3" t="s">
        <v>33</v>
      </c>
      <c r="D6" s="3" t="s">
        <v>34</v>
      </c>
      <c r="E6" s="5" t="s">
        <v>27</v>
      </c>
      <c r="F6" s="3" t="s">
        <v>22</v>
      </c>
      <c r="G6" s="3" t="s">
        <v>16</v>
      </c>
      <c r="H6" s="3"/>
      <c r="I6" s="3" t="s">
        <v>35</v>
      </c>
      <c r="J6" s="3" t="s">
        <v>17</v>
      </c>
      <c r="K6" s="3"/>
      <c r="L6" s="3" t="s">
        <v>18</v>
      </c>
    </row>
    <row r="7" customFormat="false" ht="35.05" hidden="false" customHeight="false" outlineLevel="0" collapsed="false">
      <c r="A7" s="3" t="s">
        <v>36</v>
      </c>
      <c r="B7" s="3" t="s">
        <v>12</v>
      </c>
      <c r="C7" s="3" t="s">
        <v>37</v>
      </c>
      <c r="D7" s="3" t="s">
        <v>38</v>
      </c>
      <c r="E7" s="6" t="s">
        <v>39</v>
      </c>
      <c r="F7" s="3" t="s">
        <v>22</v>
      </c>
      <c r="G7" s="3" t="s">
        <v>16</v>
      </c>
      <c r="H7" s="3"/>
      <c r="I7" s="3" t="s">
        <v>35</v>
      </c>
      <c r="J7" s="3" t="s">
        <v>17</v>
      </c>
      <c r="K7" s="3"/>
      <c r="L7" s="3" t="s">
        <v>18</v>
      </c>
    </row>
    <row r="8" customFormat="false" ht="23.85" hidden="false" customHeight="false" outlineLevel="0" collapsed="false">
      <c r="A8" s="3" t="s">
        <v>40</v>
      </c>
      <c r="B8" s="3" t="s">
        <v>12</v>
      </c>
      <c r="C8" s="3" t="s">
        <v>41</v>
      </c>
      <c r="D8" s="3" t="s">
        <v>42</v>
      </c>
      <c r="E8" s="6" t="s">
        <v>39</v>
      </c>
      <c r="F8" s="3" t="s">
        <v>22</v>
      </c>
      <c r="G8" s="3" t="s">
        <v>16</v>
      </c>
      <c r="H8" s="3"/>
      <c r="I8" s="3" t="s">
        <v>28</v>
      </c>
      <c r="J8" s="3" t="s">
        <v>17</v>
      </c>
      <c r="K8" s="3"/>
      <c r="L8" s="3" t="s">
        <v>18</v>
      </c>
    </row>
    <row r="9" customFormat="false" ht="23.85" hidden="false" customHeight="false" outlineLevel="0" collapsed="false">
      <c r="A9" s="3" t="s">
        <v>43</v>
      </c>
      <c r="B9" s="3" t="s">
        <v>12</v>
      </c>
      <c r="C9" s="3" t="s">
        <v>44</v>
      </c>
      <c r="D9" s="3" t="s">
        <v>45</v>
      </c>
      <c r="E9" s="5" t="s">
        <v>27</v>
      </c>
      <c r="F9" s="3" t="s">
        <v>22</v>
      </c>
      <c r="G9" s="3" t="s">
        <v>16</v>
      </c>
      <c r="H9" s="3"/>
      <c r="I9" s="3" t="s">
        <v>35</v>
      </c>
      <c r="J9" s="3" t="s">
        <v>17</v>
      </c>
      <c r="K9" s="3"/>
      <c r="L9" s="3" t="s">
        <v>18</v>
      </c>
    </row>
    <row r="10" customFormat="false" ht="23.85" hidden="false" customHeight="false" outlineLevel="0" collapsed="false">
      <c r="A10" s="3" t="s">
        <v>46</v>
      </c>
      <c r="B10" s="3" t="s">
        <v>12</v>
      </c>
      <c r="C10" s="3" t="s">
        <v>47</v>
      </c>
      <c r="D10" s="3" t="s">
        <v>48</v>
      </c>
      <c r="E10" s="6" t="s">
        <v>39</v>
      </c>
      <c r="F10" s="3" t="s">
        <v>49</v>
      </c>
      <c r="G10" s="3" t="s">
        <v>16</v>
      </c>
      <c r="H10" s="3"/>
      <c r="I10" s="3" t="s">
        <v>28</v>
      </c>
      <c r="J10" s="3" t="s">
        <v>17</v>
      </c>
      <c r="K10" s="3" t="s">
        <v>19</v>
      </c>
      <c r="L10" s="3" t="s">
        <v>18</v>
      </c>
    </row>
    <row r="11" customFormat="false" ht="35.05" hidden="false" customHeight="false" outlineLevel="0" collapsed="false">
      <c r="A11" s="3" t="s">
        <v>50</v>
      </c>
      <c r="B11" s="3" t="s">
        <v>12</v>
      </c>
      <c r="C11" s="3" t="s">
        <v>51</v>
      </c>
      <c r="D11" s="3" t="s">
        <v>52</v>
      </c>
      <c r="E11" s="5" t="s">
        <v>27</v>
      </c>
      <c r="F11" s="3" t="s">
        <v>53</v>
      </c>
      <c r="G11" s="3" t="s">
        <v>16</v>
      </c>
      <c r="H11" s="3"/>
      <c r="I11" s="3" t="s">
        <v>23</v>
      </c>
      <c r="J11" s="3" t="s">
        <v>17</v>
      </c>
      <c r="K11" s="3" t="s">
        <v>19</v>
      </c>
      <c r="L11" s="3" t="s">
        <v>18</v>
      </c>
    </row>
    <row r="12" customFormat="false" ht="23.85" hidden="false" customHeight="false" outlineLevel="0" collapsed="false">
      <c r="A12" s="2"/>
      <c r="B12" s="2" t="s">
        <v>54</v>
      </c>
      <c r="C12" s="2" t="s">
        <v>55</v>
      </c>
      <c r="D12" s="2" t="s">
        <v>56</v>
      </c>
      <c r="E12" s="2" t="s">
        <v>27</v>
      </c>
      <c r="F12" s="2" t="s">
        <v>1</v>
      </c>
      <c r="G12" s="2" t="s">
        <v>57</v>
      </c>
      <c r="H12" s="2" t="s">
        <v>58</v>
      </c>
      <c r="I12" s="2"/>
      <c r="J12" s="2" t="s">
        <v>17</v>
      </c>
      <c r="K12" s="2" t="s">
        <v>12</v>
      </c>
      <c r="L12" s="2" t="s">
        <v>18</v>
      </c>
    </row>
    <row r="13" customFormat="false" ht="35.05" hidden="false" customHeight="false" outlineLevel="0" collapsed="false">
      <c r="A13" s="3" t="s">
        <v>59</v>
      </c>
      <c r="B13" s="3" t="s">
        <v>54</v>
      </c>
      <c r="C13" s="3" t="s">
        <v>60</v>
      </c>
      <c r="D13" s="3" t="s">
        <v>61</v>
      </c>
      <c r="E13" s="4" t="s">
        <v>15</v>
      </c>
      <c r="F13" s="3" t="s">
        <v>62</v>
      </c>
      <c r="G13" s="3" t="s">
        <v>57</v>
      </c>
      <c r="H13" s="3" t="s">
        <v>63</v>
      </c>
      <c r="I13" s="3" t="s">
        <v>64</v>
      </c>
      <c r="J13" s="3" t="s">
        <v>17</v>
      </c>
      <c r="K13" s="3" t="s">
        <v>19</v>
      </c>
      <c r="L13" s="3" t="s">
        <v>18</v>
      </c>
    </row>
    <row r="14" customFormat="false" ht="35.05" hidden="false" customHeight="false" outlineLevel="0" collapsed="false">
      <c r="A14" s="3" t="s">
        <v>65</v>
      </c>
      <c r="B14" s="3" t="s">
        <v>54</v>
      </c>
      <c r="C14" s="3" t="s">
        <v>66</v>
      </c>
      <c r="D14" s="3" t="s">
        <v>67</v>
      </c>
      <c r="E14" s="4" t="s">
        <v>15</v>
      </c>
      <c r="F14" s="3" t="s">
        <v>62</v>
      </c>
      <c r="G14" s="3" t="s">
        <v>57</v>
      </c>
      <c r="H14" s="3" t="s">
        <v>68</v>
      </c>
      <c r="I14" s="3" t="s">
        <v>23</v>
      </c>
      <c r="J14" s="3" t="s">
        <v>17</v>
      </c>
      <c r="K14" s="3" t="s">
        <v>59</v>
      </c>
      <c r="L14" s="3" t="s">
        <v>18</v>
      </c>
    </row>
    <row r="15" customFormat="false" ht="46.25" hidden="false" customHeight="false" outlineLevel="0" collapsed="false">
      <c r="A15" s="3" t="s">
        <v>69</v>
      </c>
      <c r="B15" s="3" t="s">
        <v>54</v>
      </c>
      <c r="C15" s="3" t="s">
        <v>70</v>
      </c>
      <c r="D15" s="3" t="s">
        <v>71</v>
      </c>
      <c r="E15" s="5" t="s">
        <v>27</v>
      </c>
      <c r="F15" s="3" t="s">
        <v>62</v>
      </c>
      <c r="G15" s="3" t="s">
        <v>57</v>
      </c>
      <c r="H15" s="3" t="s">
        <v>72</v>
      </c>
      <c r="I15" s="3" t="s">
        <v>23</v>
      </c>
      <c r="J15" s="3" t="s">
        <v>17</v>
      </c>
      <c r="K15" s="3" t="s">
        <v>65</v>
      </c>
      <c r="L15" s="3" t="s">
        <v>18</v>
      </c>
    </row>
    <row r="16" customFormat="false" ht="35.05" hidden="false" customHeight="false" outlineLevel="0" collapsed="false">
      <c r="A16" s="3" t="s">
        <v>73</v>
      </c>
      <c r="B16" s="3" t="s">
        <v>54</v>
      </c>
      <c r="C16" s="3" t="s">
        <v>74</v>
      </c>
      <c r="D16" s="3" t="s">
        <v>75</v>
      </c>
      <c r="E16" s="5" t="s">
        <v>27</v>
      </c>
      <c r="F16" s="3" t="s">
        <v>62</v>
      </c>
      <c r="G16" s="3" t="s">
        <v>57</v>
      </c>
      <c r="H16" s="3" t="s">
        <v>76</v>
      </c>
      <c r="I16" s="3" t="s">
        <v>23</v>
      </c>
      <c r="J16" s="3" t="s">
        <v>17</v>
      </c>
      <c r="K16" s="3" t="s">
        <v>59</v>
      </c>
      <c r="L16" s="3" t="s">
        <v>18</v>
      </c>
    </row>
    <row r="17" customFormat="false" ht="35.05" hidden="false" customHeight="false" outlineLevel="0" collapsed="false">
      <c r="A17" s="3" t="s">
        <v>77</v>
      </c>
      <c r="B17" s="3" t="s">
        <v>54</v>
      </c>
      <c r="C17" s="3" t="s">
        <v>78</v>
      </c>
      <c r="D17" s="3" t="s">
        <v>79</v>
      </c>
      <c r="E17" s="5" t="s">
        <v>27</v>
      </c>
      <c r="F17" s="3" t="s">
        <v>53</v>
      </c>
      <c r="G17" s="3" t="s">
        <v>57</v>
      </c>
      <c r="H17" s="3"/>
      <c r="I17" s="3" t="s">
        <v>35</v>
      </c>
      <c r="J17" s="3" t="s">
        <v>17</v>
      </c>
      <c r="K17" s="3" t="s">
        <v>69</v>
      </c>
      <c r="L17" s="3" t="s">
        <v>18</v>
      </c>
    </row>
    <row r="18" customFormat="false" ht="23.85" hidden="false" customHeight="false" outlineLevel="0" collapsed="false">
      <c r="A18" s="2"/>
      <c r="B18" s="2" t="s">
        <v>80</v>
      </c>
      <c r="C18" s="2" t="s">
        <v>81</v>
      </c>
      <c r="D18" s="2" t="s">
        <v>82</v>
      </c>
      <c r="E18" s="2" t="s">
        <v>27</v>
      </c>
      <c r="F18" s="2" t="s">
        <v>1</v>
      </c>
      <c r="G18" s="2" t="s">
        <v>28</v>
      </c>
      <c r="H18" s="2" t="s">
        <v>83</v>
      </c>
      <c r="I18" s="2"/>
      <c r="J18" s="2" t="s">
        <v>17</v>
      </c>
      <c r="K18" s="2" t="s">
        <v>54</v>
      </c>
      <c r="L18" s="2" t="s">
        <v>18</v>
      </c>
    </row>
    <row r="19" customFormat="false" ht="35.05" hidden="false" customHeight="false" outlineLevel="0" collapsed="false">
      <c r="A19" s="3" t="s">
        <v>84</v>
      </c>
      <c r="B19" s="3" t="s">
        <v>80</v>
      </c>
      <c r="C19" s="3" t="s">
        <v>85</v>
      </c>
      <c r="D19" s="3" t="s">
        <v>86</v>
      </c>
      <c r="E19" s="4" t="s">
        <v>15</v>
      </c>
      <c r="F19" s="3" t="s">
        <v>62</v>
      </c>
      <c r="G19" s="3" t="s">
        <v>28</v>
      </c>
      <c r="H19" s="3" t="s">
        <v>87</v>
      </c>
      <c r="I19" s="3" t="s">
        <v>23</v>
      </c>
      <c r="J19" s="3" t="s">
        <v>17</v>
      </c>
      <c r="K19" s="3" t="s">
        <v>54</v>
      </c>
      <c r="L19" s="3" t="s">
        <v>18</v>
      </c>
    </row>
    <row r="20" customFormat="false" ht="46.25" hidden="false" customHeight="false" outlineLevel="0" collapsed="false">
      <c r="A20" s="3" t="s">
        <v>88</v>
      </c>
      <c r="B20" s="3" t="s">
        <v>80</v>
      </c>
      <c r="C20" s="3" t="s">
        <v>89</v>
      </c>
      <c r="D20" s="3" t="s">
        <v>90</v>
      </c>
      <c r="E20" s="4" t="s">
        <v>15</v>
      </c>
      <c r="F20" s="3" t="s">
        <v>62</v>
      </c>
      <c r="G20" s="3" t="s">
        <v>28</v>
      </c>
      <c r="H20" s="3" t="s">
        <v>91</v>
      </c>
      <c r="I20" s="3" t="s">
        <v>23</v>
      </c>
      <c r="J20" s="3" t="s">
        <v>17</v>
      </c>
      <c r="K20" s="3" t="s">
        <v>84</v>
      </c>
      <c r="L20" s="3" t="s">
        <v>18</v>
      </c>
    </row>
    <row r="21" customFormat="false" ht="23.85" hidden="false" customHeight="false" outlineLevel="0" collapsed="false">
      <c r="A21" s="3" t="s">
        <v>92</v>
      </c>
      <c r="B21" s="3" t="s">
        <v>80</v>
      </c>
      <c r="C21" s="3" t="s">
        <v>93</v>
      </c>
      <c r="D21" s="3" t="s">
        <v>94</v>
      </c>
      <c r="E21" s="5" t="s">
        <v>27</v>
      </c>
      <c r="F21" s="3" t="s">
        <v>62</v>
      </c>
      <c r="G21" s="3" t="s">
        <v>28</v>
      </c>
      <c r="H21" s="3" t="s">
        <v>95</v>
      </c>
      <c r="I21" s="3" t="s">
        <v>23</v>
      </c>
      <c r="J21" s="3" t="s">
        <v>17</v>
      </c>
      <c r="K21" s="3" t="s">
        <v>88</v>
      </c>
      <c r="L21" s="3" t="s">
        <v>18</v>
      </c>
    </row>
    <row r="22" customFormat="false" ht="23.85" hidden="false" customHeight="false" outlineLevel="0" collapsed="false">
      <c r="A22" s="3" t="s">
        <v>96</v>
      </c>
      <c r="B22" s="3" t="s">
        <v>80</v>
      </c>
      <c r="C22" s="3" t="s">
        <v>97</v>
      </c>
      <c r="D22" s="3" t="s">
        <v>98</v>
      </c>
      <c r="E22" s="5" t="s">
        <v>27</v>
      </c>
      <c r="F22" s="3" t="s">
        <v>62</v>
      </c>
      <c r="G22" s="3" t="s">
        <v>28</v>
      </c>
      <c r="H22" s="3" t="s">
        <v>99</v>
      </c>
      <c r="I22" s="3" t="s">
        <v>35</v>
      </c>
      <c r="J22" s="3" t="s">
        <v>17</v>
      </c>
      <c r="K22" s="3"/>
      <c r="L22" s="3" t="s">
        <v>18</v>
      </c>
    </row>
    <row r="23" customFormat="false" ht="35.05" hidden="false" customHeight="false" outlineLevel="0" collapsed="false">
      <c r="A23" s="3" t="s">
        <v>100</v>
      </c>
      <c r="B23" s="3" t="s">
        <v>80</v>
      </c>
      <c r="C23" s="3" t="s">
        <v>101</v>
      </c>
      <c r="D23" s="3" t="s">
        <v>102</v>
      </c>
      <c r="E23" s="5" t="s">
        <v>27</v>
      </c>
      <c r="F23" s="3" t="s">
        <v>62</v>
      </c>
      <c r="G23" s="3" t="s">
        <v>28</v>
      </c>
      <c r="H23" s="3" t="s">
        <v>103</v>
      </c>
      <c r="I23" s="3" t="s">
        <v>23</v>
      </c>
      <c r="J23" s="3" t="s">
        <v>17</v>
      </c>
      <c r="K23" s="3" t="s">
        <v>96</v>
      </c>
      <c r="L23" s="3" t="s">
        <v>18</v>
      </c>
    </row>
    <row r="24" customFormat="false" ht="35.05" hidden="false" customHeight="false" outlineLevel="0" collapsed="false">
      <c r="A24" s="3" t="s">
        <v>104</v>
      </c>
      <c r="B24" s="3" t="s">
        <v>80</v>
      </c>
      <c r="C24" s="3" t="s">
        <v>105</v>
      </c>
      <c r="D24" s="3" t="s">
        <v>106</v>
      </c>
      <c r="E24" s="5" t="s">
        <v>27</v>
      </c>
      <c r="F24" s="3" t="s">
        <v>62</v>
      </c>
      <c r="G24" s="3" t="s">
        <v>28</v>
      </c>
      <c r="H24" s="3" t="s">
        <v>107</v>
      </c>
      <c r="I24" s="3" t="s">
        <v>35</v>
      </c>
      <c r="J24" s="3" t="s">
        <v>17</v>
      </c>
      <c r="K24" s="3" t="s">
        <v>100</v>
      </c>
      <c r="L24" s="3" t="s">
        <v>18</v>
      </c>
    </row>
    <row r="25" customFormat="false" ht="35.05" hidden="false" customHeight="false" outlineLevel="0" collapsed="false">
      <c r="A25" s="3" t="s">
        <v>108</v>
      </c>
      <c r="B25" s="3" t="s">
        <v>80</v>
      </c>
      <c r="C25" s="3" t="s">
        <v>109</v>
      </c>
      <c r="D25" s="3" t="s">
        <v>110</v>
      </c>
      <c r="E25" s="5" t="s">
        <v>27</v>
      </c>
      <c r="F25" s="3" t="s">
        <v>62</v>
      </c>
      <c r="G25" s="3" t="s">
        <v>28</v>
      </c>
      <c r="H25" s="3" t="s">
        <v>111</v>
      </c>
      <c r="I25" s="3" t="s">
        <v>64</v>
      </c>
      <c r="J25" s="3" t="s">
        <v>17</v>
      </c>
      <c r="K25" s="3" t="s">
        <v>92</v>
      </c>
      <c r="L25" s="3" t="s">
        <v>18</v>
      </c>
    </row>
    <row r="26" customFormat="false" ht="23.85" hidden="false" customHeight="false" outlineLevel="0" collapsed="false">
      <c r="A26" s="3" t="s">
        <v>112</v>
      </c>
      <c r="B26" s="3" t="s">
        <v>80</v>
      </c>
      <c r="C26" s="3" t="s">
        <v>113</v>
      </c>
      <c r="D26" s="3" t="s">
        <v>114</v>
      </c>
      <c r="E26" s="5" t="s">
        <v>27</v>
      </c>
      <c r="F26" s="3" t="s">
        <v>53</v>
      </c>
      <c r="G26" s="3" t="s">
        <v>28</v>
      </c>
      <c r="H26" s="3"/>
      <c r="I26" s="3" t="s">
        <v>23</v>
      </c>
      <c r="J26" s="3" t="s">
        <v>17</v>
      </c>
      <c r="K26" s="3" t="s">
        <v>108</v>
      </c>
      <c r="L26" s="3" t="s">
        <v>18</v>
      </c>
    </row>
    <row r="27" customFormat="false" ht="23.85" hidden="false" customHeight="false" outlineLevel="0" collapsed="false">
      <c r="A27" s="2"/>
      <c r="B27" s="2" t="s">
        <v>115</v>
      </c>
      <c r="C27" s="2" t="s">
        <v>116</v>
      </c>
      <c r="D27" s="2" t="s">
        <v>117</v>
      </c>
      <c r="E27" s="2" t="s">
        <v>27</v>
      </c>
      <c r="F27" s="2" t="s">
        <v>1</v>
      </c>
      <c r="G27" s="2" t="s">
        <v>35</v>
      </c>
      <c r="H27" s="2" t="s">
        <v>118</v>
      </c>
      <c r="I27" s="2"/>
      <c r="J27" s="2" t="s">
        <v>119</v>
      </c>
      <c r="K27" s="2" t="s">
        <v>80</v>
      </c>
      <c r="L27" s="2" t="s">
        <v>18</v>
      </c>
    </row>
    <row r="28" customFormat="false" ht="35.05" hidden="false" customHeight="false" outlineLevel="0" collapsed="false">
      <c r="A28" s="3" t="s">
        <v>120</v>
      </c>
      <c r="B28" s="3" t="s">
        <v>115</v>
      </c>
      <c r="C28" s="3" t="s">
        <v>121</v>
      </c>
      <c r="D28" s="3" t="s">
        <v>122</v>
      </c>
      <c r="E28" s="4" t="s">
        <v>15</v>
      </c>
      <c r="F28" s="3" t="s">
        <v>62</v>
      </c>
      <c r="G28" s="3" t="s">
        <v>35</v>
      </c>
      <c r="H28" s="3" t="s">
        <v>123</v>
      </c>
      <c r="I28" s="3" t="s">
        <v>64</v>
      </c>
      <c r="J28" s="3" t="s">
        <v>119</v>
      </c>
      <c r="K28" s="3" t="s">
        <v>80</v>
      </c>
      <c r="L28" s="3" t="s">
        <v>18</v>
      </c>
    </row>
    <row r="29" customFormat="false" ht="35.05" hidden="false" customHeight="false" outlineLevel="0" collapsed="false">
      <c r="A29" s="3" t="s">
        <v>124</v>
      </c>
      <c r="B29" s="3" t="s">
        <v>115</v>
      </c>
      <c r="C29" s="3" t="s">
        <v>125</v>
      </c>
      <c r="D29" s="3" t="s">
        <v>126</v>
      </c>
      <c r="E29" s="5" t="s">
        <v>27</v>
      </c>
      <c r="F29" s="3" t="s">
        <v>62</v>
      </c>
      <c r="G29" s="3" t="s">
        <v>35</v>
      </c>
      <c r="H29" s="3" t="s">
        <v>127</v>
      </c>
      <c r="I29" s="3" t="s">
        <v>23</v>
      </c>
      <c r="J29" s="3" t="s">
        <v>119</v>
      </c>
      <c r="K29" s="3" t="s">
        <v>120</v>
      </c>
      <c r="L29" s="3" t="s">
        <v>18</v>
      </c>
    </row>
    <row r="30" customFormat="false" ht="23.85" hidden="false" customHeight="false" outlineLevel="0" collapsed="false">
      <c r="A30" s="3" t="s">
        <v>128</v>
      </c>
      <c r="B30" s="3" t="s">
        <v>115</v>
      </c>
      <c r="C30" s="3" t="s">
        <v>129</v>
      </c>
      <c r="D30" s="3" t="s">
        <v>130</v>
      </c>
      <c r="E30" s="5" t="s">
        <v>27</v>
      </c>
      <c r="F30" s="3" t="s">
        <v>62</v>
      </c>
      <c r="G30" s="3" t="s">
        <v>35</v>
      </c>
      <c r="H30" s="3" t="s">
        <v>131</v>
      </c>
      <c r="I30" s="3" t="s">
        <v>35</v>
      </c>
      <c r="J30" s="3" t="s">
        <v>119</v>
      </c>
      <c r="K30" s="3" t="s">
        <v>120</v>
      </c>
      <c r="L30" s="3" t="s">
        <v>18</v>
      </c>
    </row>
    <row r="31" customFormat="false" ht="35.05" hidden="false" customHeight="false" outlineLevel="0" collapsed="false">
      <c r="A31" s="3" t="s">
        <v>132</v>
      </c>
      <c r="B31" s="3" t="s">
        <v>115</v>
      </c>
      <c r="C31" s="3" t="s">
        <v>133</v>
      </c>
      <c r="D31" s="3" t="s">
        <v>134</v>
      </c>
      <c r="E31" s="5" t="s">
        <v>27</v>
      </c>
      <c r="F31" s="3" t="s">
        <v>62</v>
      </c>
      <c r="G31" s="3" t="s">
        <v>35</v>
      </c>
      <c r="H31" s="3" t="s">
        <v>135</v>
      </c>
      <c r="I31" s="3" t="s">
        <v>23</v>
      </c>
      <c r="J31" s="3" t="s">
        <v>119</v>
      </c>
      <c r="K31" s="3" t="s">
        <v>124</v>
      </c>
      <c r="L31" s="3" t="s">
        <v>18</v>
      </c>
    </row>
    <row r="32" customFormat="false" ht="23.85" hidden="false" customHeight="false" outlineLevel="0" collapsed="false">
      <c r="A32" s="3" t="s">
        <v>136</v>
      </c>
      <c r="B32" s="3" t="s">
        <v>115</v>
      </c>
      <c r="C32" s="3" t="s">
        <v>137</v>
      </c>
      <c r="D32" s="3" t="s">
        <v>138</v>
      </c>
      <c r="E32" s="6" t="s">
        <v>39</v>
      </c>
      <c r="F32" s="3" t="s">
        <v>62</v>
      </c>
      <c r="G32" s="3" t="s">
        <v>35</v>
      </c>
      <c r="H32" s="3" t="s">
        <v>139</v>
      </c>
      <c r="I32" s="3" t="s">
        <v>35</v>
      </c>
      <c r="J32" s="3" t="s">
        <v>119</v>
      </c>
      <c r="K32" s="3" t="s">
        <v>132</v>
      </c>
      <c r="L32" s="3" t="s">
        <v>18</v>
      </c>
    </row>
    <row r="33" customFormat="false" ht="35.05" hidden="false" customHeight="false" outlineLevel="0" collapsed="false">
      <c r="A33" s="3" t="s">
        <v>140</v>
      </c>
      <c r="B33" s="3" t="s">
        <v>115</v>
      </c>
      <c r="C33" s="3" t="s">
        <v>141</v>
      </c>
      <c r="D33" s="3" t="s">
        <v>142</v>
      </c>
      <c r="E33" s="5" t="s">
        <v>27</v>
      </c>
      <c r="F33" s="3" t="s">
        <v>62</v>
      </c>
      <c r="G33" s="3" t="s">
        <v>35</v>
      </c>
      <c r="H33" s="3"/>
      <c r="I33" s="3" t="s">
        <v>64</v>
      </c>
      <c r="J33" s="3" t="s">
        <v>119</v>
      </c>
      <c r="K33" s="3" t="s">
        <v>132</v>
      </c>
      <c r="L33" s="3" t="s">
        <v>18</v>
      </c>
    </row>
    <row r="34" customFormat="false" ht="23.85" hidden="false" customHeight="false" outlineLevel="0" collapsed="false">
      <c r="A34" s="3" t="s">
        <v>143</v>
      </c>
      <c r="B34" s="3" t="s">
        <v>115</v>
      </c>
      <c r="C34" s="3" t="s">
        <v>144</v>
      </c>
      <c r="D34" s="3" t="s">
        <v>145</v>
      </c>
      <c r="E34" s="5" t="s">
        <v>27</v>
      </c>
      <c r="F34" s="3" t="s">
        <v>53</v>
      </c>
      <c r="G34" s="3" t="s">
        <v>35</v>
      </c>
      <c r="H34" s="3"/>
      <c r="I34" s="3" t="s">
        <v>35</v>
      </c>
      <c r="J34" s="3" t="s">
        <v>119</v>
      </c>
      <c r="K34" s="3" t="s">
        <v>140</v>
      </c>
      <c r="L34" s="3" t="s">
        <v>18</v>
      </c>
    </row>
    <row r="35" customFormat="false" ht="23.85" hidden="false" customHeight="false" outlineLevel="0" collapsed="false">
      <c r="A35" s="2"/>
      <c r="B35" s="2" t="s">
        <v>146</v>
      </c>
      <c r="C35" s="2" t="s">
        <v>147</v>
      </c>
      <c r="D35" s="2" t="s">
        <v>148</v>
      </c>
      <c r="E35" s="2" t="s">
        <v>27</v>
      </c>
      <c r="F35" s="2" t="s">
        <v>1</v>
      </c>
      <c r="G35" s="2" t="s">
        <v>149</v>
      </c>
      <c r="H35" s="2" t="s">
        <v>150</v>
      </c>
      <c r="I35" s="2"/>
      <c r="J35" s="2" t="s">
        <v>119</v>
      </c>
      <c r="K35" s="2" t="s">
        <v>115</v>
      </c>
      <c r="L35" s="2" t="s">
        <v>18</v>
      </c>
    </row>
    <row r="36" customFormat="false" ht="35.05" hidden="false" customHeight="false" outlineLevel="0" collapsed="false">
      <c r="A36" s="3" t="s">
        <v>151</v>
      </c>
      <c r="B36" s="3" t="s">
        <v>146</v>
      </c>
      <c r="C36" s="3" t="s">
        <v>152</v>
      </c>
      <c r="D36" s="3" t="s">
        <v>153</v>
      </c>
      <c r="E36" s="5" t="s">
        <v>27</v>
      </c>
      <c r="F36" s="3" t="s">
        <v>62</v>
      </c>
      <c r="G36" s="3" t="s">
        <v>149</v>
      </c>
      <c r="H36" s="3" t="s">
        <v>154</v>
      </c>
      <c r="I36" s="3" t="s">
        <v>23</v>
      </c>
      <c r="J36" s="3" t="s">
        <v>119</v>
      </c>
      <c r="K36" s="3" t="s">
        <v>115</v>
      </c>
      <c r="L36" s="3" t="s">
        <v>18</v>
      </c>
    </row>
    <row r="37" customFormat="false" ht="35.05" hidden="false" customHeight="false" outlineLevel="0" collapsed="false">
      <c r="A37" s="3" t="s">
        <v>155</v>
      </c>
      <c r="B37" s="3" t="s">
        <v>146</v>
      </c>
      <c r="C37" s="3" t="s">
        <v>156</v>
      </c>
      <c r="D37" s="3" t="s">
        <v>157</v>
      </c>
      <c r="E37" s="5" t="s">
        <v>27</v>
      </c>
      <c r="F37" s="3" t="s">
        <v>62</v>
      </c>
      <c r="G37" s="3" t="s">
        <v>149</v>
      </c>
      <c r="H37" s="3" t="s">
        <v>158</v>
      </c>
      <c r="I37" s="3" t="s">
        <v>64</v>
      </c>
      <c r="J37" s="3" t="s">
        <v>119</v>
      </c>
      <c r="K37" s="3" t="s">
        <v>151</v>
      </c>
      <c r="L37" s="3" t="s">
        <v>18</v>
      </c>
    </row>
    <row r="38" customFormat="false" ht="23.85" hidden="false" customHeight="false" outlineLevel="0" collapsed="false">
      <c r="A38" s="3" t="s">
        <v>159</v>
      </c>
      <c r="B38" s="3" t="s">
        <v>146</v>
      </c>
      <c r="C38" s="3" t="s">
        <v>160</v>
      </c>
      <c r="D38" s="3" t="s">
        <v>161</v>
      </c>
      <c r="E38" s="5" t="s">
        <v>27</v>
      </c>
      <c r="F38" s="3" t="s">
        <v>62</v>
      </c>
      <c r="G38" s="3" t="s">
        <v>149</v>
      </c>
      <c r="H38" s="3" t="s">
        <v>162</v>
      </c>
      <c r="I38" s="3" t="s">
        <v>64</v>
      </c>
      <c r="J38" s="3" t="s">
        <v>119</v>
      </c>
      <c r="K38" s="3" t="s">
        <v>155</v>
      </c>
      <c r="L38" s="3" t="s">
        <v>18</v>
      </c>
    </row>
    <row r="39" customFormat="false" ht="23.85" hidden="false" customHeight="false" outlineLevel="0" collapsed="false">
      <c r="A39" s="3" t="s">
        <v>163</v>
      </c>
      <c r="B39" s="3" t="s">
        <v>146</v>
      </c>
      <c r="C39" s="3" t="s">
        <v>164</v>
      </c>
      <c r="D39" s="3" t="s">
        <v>165</v>
      </c>
      <c r="E39" s="6" t="s">
        <v>39</v>
      </c>
      <c r="F39" s="3" t="s">
        <v>62</v>
      </c>
      <c r="G39" s="3" t="s">
        <v>149</v>
      </c>
      <c r="H39" s="3" t="s">
        <v>166</v>
      </c>
      <c r="I39" s="3" t="s">
        <v>23</v>
      </c>
      <c r="J39" s="3" t="s">
        <v>119</v>
      </c>
      <c r="K39" s="3" t="s">
        <v>159</v>
      </c>
      <c r="L39" s="3" t="s">
        <v>18</v>
      </c>
    </row>
    <row r="40" customFormat="false" ht="35.05" hidden="false" customHeight="false" outlineLevel="0" collapsed="false">
      <c r="A40" s="3" t="s">
        <v>167</v>
      </c>
      <c r="B40" s="3" t="s">
        <v>146</v>
      </c>
      <c r="C40" s="3" t="s">
        <v>168</v>
      </c>
      <c r="D40" s="3" t="s">
        <v>169</v>
      </c>
      <c r="E40" s="5" t="s">
        <v>27</v>
      </c>
      <c r="F40" s="3" t="s">
        <v>62</v>
      </c>
      <c r="G40" s="3" t="s">
        <v>149</v>
      </c>
      <c r="H40" s="3" t="s">
        <v>170</v>
      </c>
      <c r="I40" s="3" t="s">
        <v>23</v>
      </c>
      <c r="J40" s="3" t="s">
        <v>119</v>
      </c>
      <c r="K40" s="3" t="s">
        <v>159</v>
      </c>
      <c r="L40" s="3" t="s">
        <v>18</v>
      </c>
    </row>
    <row r="41" customFormat="false" ht="23.85" hidden="false" customHeight="false" outlineLevel="0" collapsed="false">
      <c r="A41" s="3" t="s">
        <v>171</v>
      </c>
      <c r="B41" s="3" t="s">
        <v>146</v>
      </c>
      <c r="C41" s="3" t="s">
        <v>172</v>
      </c>
      <c r="D41" s="3" t="s">
        <v>173</v>
      </c>
      <c r="E41" s="5" t="s">
        <v>27</v>
      </c>
      <c r="F41" s="3" t="s">
        <v>62</v>
      </c>
      <c r="G41" s="3" t="s">
        <v>149</v>
      </c>
      <c r="H41" s="3"/>
      <c r="I41" s="3" t="s">
        <v>28</v>
      </c>
      <c r="J41" s="3" t="s">
        <v>119</v>
      </c>
      <c r="K41" s="3"/>
      <c r="L41" s="3" t="s">
        <v>18</v>
      </c>
    </row>
    <row r="42" customFormat="false" ht="23.85" hidden="false" customHeight="false" outlineLevel="0" collapsed="false">
      <c r="A42" s="3" t="s">
        <v>174</v>
      </c>
      <c r="B42" s="3" t="s">
        <v>146</v>
      </c>
      <c r="C42" s="3" t="s">
        <v>175</v>
      </c>
      <c r="D42" s="3" t="s">
        <v>176</v>
      </c>
      <c r="E42" s="5" t="s">
        <v>27</v>
      </c>
      <c r="F42" s="3" t="s">
        <v>53</v>
      </c>
      <c r="G42" s="3" t="s">
        <v>149</v>
      </c>
      <c r="H42" s="3"/>
      <c r="I42" s="3" t="s">
        <v>23</v>
      </c>
      <c r="J42" s="3" t="s">
        <v>119</v>
      </c>
      <c r="K42" s="3" t="s">
        <v>167</v>
      </c>
      <c r="L42" s="3" t="s">
        <v>18</v>
      </c>
    </row>
    <row r="43" customFormat="false" ht="23.85" hidden="false" customHeight="false" outlineLevel="0" collapsed="false">
      <c r="A43" s="2"/>
      <c r="B43" s="2" t="s">
        <v>177</v>
      </c>
      <c r="C43" s="2" t="s">
        <v>178</v>
      </c>
      <c r="D43" s="2" t="s">
        <v>179</v>
      </c>
      <c r="E43" s="2" t="s">
        <v>27</v>
      </c>
      <c r="F43" s="2" t="s">
        <v>1</v>
      </c>
      <c r="G43" s="2" t="s">
        <v>23</v>
      </c>
      <c r="H43" s="2" t="s">
        <v>180</v>
      </c>
      <c r="I43" s="2"/>
      <c r="J43" s="2" t="s">
        <v>181</v>
      </c>
      <c r="K43" s="2" t="s">
        <v>146</v>
      </c>
      <c r="L43" s="2" t="s">
        <v>18</v>
      </c>
    </row>
    <row r="44" customFormat="false" ht="23.85" hidden="false" customHeight="false" outlineLevel="0" collapsed="false">
      <c r="A44" s="3" t="s">
        <v>182</v>
      </c>
      <c r="B44" s="3" t="s">
        <v>177</v>
      </c>
      <c r="C44" s="3" t="s">
        <v>183</v>
      </c>
      <c r="D44" s="3" t="s">
        <v>184</v>
      </c>
      <c r="E44" s="5" t="s">
        <v>27</v>
      </c>
      <c r="F44" s="3" t="s">
        <v>62</v>
      </c>
      <c r="G44" s="3" t="s">
        <v>23</v>
      </c>
      <c r="H44" s="3" t="s">
        <v>185</v>
      </c>
      <c r="I44" s="3" t="s">
        <v>23</v>
      </c>
      <c r="J44" s="3" t="s">
        <v>181</v>
      </c>
      <c r="K44" s="3" t="s">
        <v>146</v>
      </c>
      <c r="L44" s="3" t="s">
        <v>18</v>
      </c>
    </row>
    <row r="45" customFormat="false" ht="23.85" hidden="false" customHeight="false" outlineLevel="0" collapsed="false">
      <c r="A45" s="3" t="s">
        <v>186</v>
      </c>
      <c r="B45" s="3" t="s">
        <v>177</v>
      </c>
      <c r="C45" s="3" t="s">
        <v>187</v>
      </c>
      <c r="D45" s="3" t="s">
        <v>188</v>
      </c>
      <c r="E45" s="5" t="s">
        <v>27</v>
      </c>
      <c r="F45" s="3" t="s">
        <v>62</v>
      </c>
      <c r="G45" s="3" t="s">
        <v>23</v>
      </c>
      <c r="H45" s="3" t="s">
        <v>189</v>
      </c>
      <c r="I45" s="3" t="s">
        <v>23</v>
      </c>
      <c r="J45" s="3" t="s">
        <v>181</v>
      </c>
      <c r="K45" s="3" t="s">
        <v>182</v>
      </c>
      <c r="L45" s="3" t="s">
        <v>18</v>
      </c>
    </row>
    <row r="46" customFormat="false" ht="23.85" hidden="false" customHeight="false" outlineLevel="0" collapsed="false">
      <c r="A46" s="3" t="s">
        <v>190</v>
      </c>
      <c r="B46" s="3" t="s">
        <v>177</v>
      </c>
      <c r="C46" s="3" t="s">
        <v>191</v>
      </c>
      <c r="D46" s="3" t="s">
        <v>192</v>
      </c>
      <c r="E46" s="5" t="s">
        <v>27</v>
      </c>
      <c r="F46" s="3" t="s">
        <v>62</v>
      </c>
      <c r="G46" s="3" t="s">
        <v>23</v>
      </c>
      <c r="H46" s="3" t="s">
        <v>193</v>
      </c>
      <c r="I46" s="3" t="s">
        <v>23</v>
      </c>
      <c r="J46" s="3" t="s">
        <v>181</v>
      </c>
      <c r="K46" s="3" t="s">
        <v>186</v>
      </c>
      <c r="L46" s="3" t="s">
        <v>18</v>
      </c>
    </row>
    <row r="47" customFormat="false" ht="23.85" hidden="false" customHeight="false" outlineLevel="0" collapsed="false">
      <c r="A47" s="3" t="s">
        <v>194</v>
      </c>
      <c r="B47" s="3" t="s">
        <v>177</v>
      </c>
      <c r="C47" s="3" t="s">
        <v>195</v>
      </c>
      <c r="D47" s="3" t="s">
        <v>196</v>
      </c>
      <c r="E47" s="6" t="s">
        <v>39</v>
      </c>
      <c r="F47" s="3" t="s">
        <v>62</v>
      </c>
      <c r="G47" s="3" t="s">
        <v>23</v>
      </c>
      <c r="H47" s="3" t="s">
        <v>197</v>
      </c>
      <c r="I47" s="3" t="s">
        <v>35</v>
      </c>
      <c r="J47" s="3" t="s">
        <v>181</v>
      </c>
      <c r="K47" s="3" t="s">
        <v>190</v>
      </c>
      <c r="L47" s="3" t="s">
        <v>18</v>
      </c>
    </row>
    <row r="48" customFormat="false" ht="23.85" hidden="false" customHeight="false" outlineLevel="0" collapsed="false">
      <c r="A48" s="3" t="s">
        <v>198</v>
      </c>
      <c r="B48" s="3" t="s">
        <v>177</v>
      </c>
      <c r="C48" s="3" t="s">
        <v>199</v>
      </c>
      <c r="D48" s="3" t="s">
        <v>200</v>
      </c>
      <c r="E48" s="6" t="s">
        <v>39</v>
      </c>
      <c r="F48" s="3" t="s">
        <v>62</v>
      </c>
      <c r="G48" s="3" t="s">
        <v>23</v>
      </c>
      <c r="H48" s="3" t="s">
        <v>201</v>
      </c>
      <c r="I48" s="3" t="s">
        <v>23</v>
      </c>
      <c r="J48" s="3" t="s">
        <v>181</v>
      </c>
      <c r="K48" s="3" t="s">
        <v>194</v>
      </c>
      <c r="L48" s="3" t="s">
        <v>18</v>
      </c>
    </row>
    <row r="49" customFormat="false" ht="23.85" hidden="false" customHeight="false" outlineLevel="0" collapsed="false">
      <c r="A49" s="3" t="s">
        <v>202</v>
      </c>
      <c r="B49" s="3" t="s">
        <v>177</v>
      </c>
      <c r="C49" s="3" t="s">
        <v>203</v>
      </c>
      <c r="D49" s="3" t="s">
        <v>204</v>
      </c>
      <c r="E49" s="5" t="s">
        <v>27</v>
      </c>
      <c r="F49" s="3" t="s">
        <v>62</v>
      </c>
      <c r="G49" s="3" t="s">
        <v>23</v>
      </c>
      <c r="H49" s="3"/>
      <c r="I49" s="3" t="s">
        <v>23</v>
      </c>
      <c r="J49" s="3" t="s">
        <v>181</v>
      </c>
      <c r="K49" s="3" t="s">
        <v>190</v>
      </c>
      <c r="L49" s="3" t="s">
        <v>18</v>
      </c>
    </row>
    <row r="50" customFormat="false" ht="23.85" hidden="false" customHeight="false" outlineLevel="0" collapsed="false">
      <c r="A50" s="3" t="s">
        <v>205</v>
      </c>
      <c r="B50" s="3" t="s">
        <v>177</v>
      </c>
      <c r="C50" s="3" t="s">
        <v>206</v>
      </c>
      <c r="D50" s="3" t="s">
        <v>207</v>
      </c>
      <c r="E50" s="6" t="s">
        <v>39</v>
      </c>
      <c r="F50" s="3" t="s">
        <v>53</v>
      </c>
      <c r="G50" s="3" t="s">
        <v>23</v>
      </c>
      <c r="H50" s="3"/>
      <c r="I50" s="3" t="s">
        <v>35</v>
      </c>
      <c r="J50" s="3" t="s">
        <v>181</v>
      </c>
      <c r="K50" s="3" t="s">
        <v>202</v>
      </c>
      <c r="L50" s="3" t="s">
        <v>18</v>
      </c>
    </row>
    <row r="51" customFormat="false" ht="23.85" hidden="false" customHeight="false" outlineLevel="0" collapsed="false">
      <c r="A51" s="2"/>
      <c r="B51" s="2" t="s">
        <v>208</v>
      </c>
      <c r="C51" s="2" t="s">
        <v>209</v>
      </c>
      <c r="D51" s="2" t="s">
        <v>210</v>
      </c>
      <c r="E51" s="2" t="s">
        <v>39</v>
      </c>
      <c r="F51" s="2" t="s">
        <v>1</v>
      </c>
      <c r="G51" s="2" t="s">
        <v>211</v>
      </c>
      <c r="H51" s="2" t="s">
        <v>212</v>
      </c>
      <c r="I51" s="2"/>
      <c r="J51" s="2" t="s">
        <v>181</v>
      </c>
      <c r="K51" s="2" t="s">
        <v>177</v>
      </c>
      <c r="L51" s="2" t="s">
        <v>18</v>
      </c>
    </row>
    <row r="52" customFormat="false" ht="23.85" hidden="false" customHeight="false" outlineLevel="0" collapsed="false">
      <c r="A52" s="3" t="s">
        <v>213</v>
      </c>
      <c r="B52" s="3" t="s">
        <v>208</v>
      </c>
      <c r="C52" s="3" t="s">
        <v>214</v>
      </c>
      <c r="D52" s="3" t="s">
        <v>215</v>
      </c>
      <c r="E52" s="5" t="s">
        <v>27</v>
      </c>
      <c r="F52" s="3" t="s">
        <v>62</v>
      </c>
      <c r="G52" s="3" t="s">
        <v>211</v>
      </c>
      <c r="H52" s="3" t="s">
        <v>216</v>
      </c>
      <c r="I52" s="3" t="s">
        <v>23</v>
      </c>
      <c r="J52" s="3" t="s">
        <v>181</v>
      </c>
      <c r="K52" s="3" t="s">
        <v>177</v>
      </c>
      <c r="L52" s="3" t="s">
        <v>18</v>
      </c>
    </row>
    <row r="53" customFormat="false" ht="23.85" hidden="false" customHeight="false" outlineLevel="0" collapsed="false">
      <c r="A53" s="3" t="s">
        <v>217</v>
      </c>
      <c r="B53" s="3" t="s">
        <v>208</v>
      </c>
      <c r="C53" s="3" t="s">
        <v>218</v>
      </c>
      <c r="D53" s="3" t="s">
        <v>219</v>
      </c>
      <c r="E53" s="5" t="s">
        <v>27</v>
      </c>
      <c r="F53" s="3" t="s">
        <v>62</v>
      </c>
      <c r="G53" s="3" t="s">
        <v>211</v>
      </c>
      <c r="H53" s="3" t="s">
        <v>220</v>
      </c>
      <c r="I53" s="3" t="s">
        <v>35</v>
      </c>
      <c r="J53" s="3" t="s">
        <v>181</v>
      </c>
      <c r="K53" s="3" t="s">
        <v>213</v>
      </c>
      <c r="L53" s="3" t="s">
        <v>18</v>
      </c>
    </row>
    <row r="54" customFormat="false" ht="23.85" hidden="false" customHeight="false" outlineLevel="0" collapsed="false">
      <c r="A54" s="3" t="s">
        <v>221</v>
      </c>
      <c r="B54" s="3" t="s">
        <v>208</v>
      </c>
      <c r="C54" s="3" t="s">
        <v>222</v>
      </c>
      <c r="D54" s="3" t="s">
        <v>223</v>
      </c>
      <c r="E54" s="6" t="s">
        <v>39</v>
      </c>
      <c r="F54" s="3" t="s">
        <v>62</v>
      </c>
      <c r="G54" s="3" t="s">
        <v>211</v>
      </c>
      <c r="H54" s="3" t="s">
        <v>224</v>
      </c>
      <c r="I54" s="3" t="s">
        <v>35</v>
      </c>
      <c r="J54" s="3" t="s">
        <v>181</v>
      </c>
      <c r="K54" s="3" t="s">
        <v>213</v>
      </c>
      <c r="L54" s="3" t="s">
        <v>18</v>
      </c>
    </row>
    <row r="55" customFormat="false" ht="23.85" hidden="false" customHeight="false" outlineLevel="0" collapsed="false">
      <c r="A55" s="3" t="s">
        <v>225</v>
      </c>
      <c r="B55" s="3" t="s">
        <v>208</v>
      </c>
      <c r="C55" s="3" t="s">
        <v>226</v>
      </c>
      <c r="D55" s="3" t="s">
        <v>227</v>
      </c>
      <c r="E55" s="6" t="s">
        <v>39</v>
      </c>
      <c r="F55" s="3" t="s">
        <v>62</v>
      </c>
      <c r="G55" s="3" t="s">
        <v>211</v>
      </c>
      <c r="H55" s="3" t="s">
        <v>228</v>
      </c>
      <c r="I55" s="3" t="s">
        <v>35</v>
      </c>
      <c r="J55" s="3" t="s">
        <v>181</v>
      </c>
      <c r="K55" s="3" t="s">
        <v>217</v>
      </c>
      <c r="L55" s="3" t="s">
        <v>18</v>
      </c>
    </row>
    <row r="56" customFormat="false" ht="23.85" hidden="false" customHeight="false" outlineLevel="0" collapsed="false">
      <c r="A56" s="3" t="s">
        <v>229</v>
      </c>
      <c r="B56" s="3" t="s">
        <v>208</v>
      </c>
      <c r="C56" s="3" t="s">
        <v>230</v>
      </c>
      <c r="D56" s="3" t="s">
        <v>231</v>
      </c>
      <c r="E56" s="5" t="s">
        <v>27</v>
      </c>
      <c r="F56" s="3" t="s">
        <v>62</v>
      </c>
      <c r="G56" s="3" t="s">
        <v>211</v>
      </c>
      <c r="H56" s="3"/>
      <c r="I56" s="3" t="s">
        <v>35</v>
      </c>
      <c r="J56" s="3" t="s">
        <v>181</v>
      </c>
      <c r="K56" s="3"/>
      <c r="L56" s="3" t="s">
        <v>18</v>
      </c>
    </row>
    <row r="57" customFormat="false" ht="23.85" hidden="false" customHeight="false" outlineLevel="0" collapsed="false">
      <c r="A57" s="3" t="s">
        <v>232</v>
      </c>
      <c r="B57" s="3" t="s">
        <v>208</v>
      </c>
      <c r="C57" s="3" t="s">
        <v>233</v>
      </c>
      <c r="D57" s="3" t="s">
        <v>234</v>
      </c>
      <c r="E57" s="6" t="s">
        <v>39</v>
      </c>
      <c r="F57" s="3" t="s">
        <v>62</v>
      </c>
      <c r="G57" s="3" t="s">
        <v>211</v>
      </c>
      <c r="H57" s="3"/>
      <c r="I57" s="3" t="s">
        <v>23</v>
      </c>
      <c r="J57" s="3" t="s">
        <v>181</v>
      </c>
      <c r="K57" s="3" t="s">
        <v>229</v>
      </c>
      <c r="L57" s="3" t="s">
        <v>18</v>
      </c>
    </row>
    <row r="58" customFormat="false" ht="23.85" hidden="false" customHeight="false" outlineLevel="0" collapsed="false">
      <c r="A58" s="3" t="s">
        <v>235</v>
      </c>
      <c r="B58" s="3" t="s">
        <v>208</v>
      </c>
      <c r="C58" s="3" t="s">
        <v>236</v>
      </c>
      <c r="D58" s="3" t="s">
        <v>237</v>
      </c>
      <c r="E58" s="6" t="s">
        <v>39</v>
      </c>
      <c r="F58" s="3" t="s">
        <v>53</v>
      </c>
      <c r="G58" s="3" t="s">
        <v>211</v>
      </c>
      <c r="H58" s="3"/>
      <c r="I58" s="3" t="s">
        <v>35</v>
      </c>
      <c r="J58" s="3" t="s">
        <v>181</v>
      </c>
      <c r="K58" s="3" t="s">
        <v>232</v>
      </c>
      <c r="L58" s="3" t="s">
        <v>18</v>
      </c>
    </row>
    <row r="59" customFormat="false" ht="23.85" hidden="false" customHeight="false" outlineLevel="0" collapsed="false">
      <c r="A59" s="2"/>
      <c r="B59" s="2" t="s">
        <v>238</v>
      </c>
      <c r="C59" s="2" t="s">
        <v>239</v>
      </c>
      <c r="D59" s="2" t="s">
        <v>240</v>
      </c>
      <c r="E59" s="2" t="s">
        <v>27</v>
      </c>
      <c r="F59" s="2" t="s">
        <v>1</v>
      </c>
      <c r="G59" s="2" t="s">
        <v>241</v>
      </c>
      <c r="H59" s="2"/>
      <c r="I59" s="2"/>
      <c r="J59" s="2" t="s">
        <v>242</v>
      </c>
      <c r="K59" s="2"/>
      <c r="L59" s="2" t="s">
        <v>18</v>
      </c>
    </row>
    <row r="60" customFormat="false" ht="23.85" hidden="false" customHeight="false" outlineLevel="0" collapsed="false">
      <c r="A60" s="3" t="s">
        <v>243</v>
      </c>
      <c r="B60" s="3" t="s">
        <v>238</v>
      </c>
      <c r="C60" s="3" t="s">
        <v>244</v>
      </c>
      <c r="D60" s="3" t="s">
        <v>245</v>
      </c>
      <c r="E60" s="4" t="s">
        <v>15</v>
      </c>
      <c r="F60" s="3" t="s">
        <v>62</v>
      </c>
      <c r="G60" s="3" t="s">
        <v>241</v>
      </c>
      <c r="H60" s="3"/>
      <c r="I60" s="3" t="s">
        <v>35</v>
      </c>
      <c r="J60" s="3" t="s">
        <v>17</v>
      </c>
      <c r="K60" s="3"/>
      <c r="L60" s="3" t="s">
        <v>18</v>
      </c>
    </row>
    <row r="61" customFormat="false" ht="23.85" hidden="false" customHeight="false" outlineLevel="0" collapsed="false">
      <c r="A61" s="3" t="s">
        <v>246</v>
      </c>
      <c r="B61" s="3" t="s">
        <v>238</v>
      </c>
      <c r="C61" s="3" t="s">
        <v>247</v>
      </c>
      <c r="D61" s="3" t="s">
        <v>248</v>
      </c>
      <c r="E61" s="4" t="s">
        <v>15</v>
      </c>
      <c r="F61" s="3" t="s">
        <v>62</v>
      </c>
      <c r="G61" s="3" t="s">
        <v>241</v>
      </c>
      <c r="H61" s="3"/>
      <c r="I61" s="3" t="s">
        <v>23</v>
      </c>
      <c r="J61" s="3" t="s">
        <v>17</v>
      </c>
      <c r="K61" s="3" t="s">
        <v>243</v>
      </c>
      <c r="L61" s="3" t="s">
        <v>18</v>
      </c>
    </row>
    <row r="62" customFormat="false" ht="23.85" hidden="false" customHeight="false" outlineLevel="0" collapsed="false">
      <c r="A62" s="3" t="s">
        <v>249</v>
      </c>
      <c r="B62" s="3" t="s">
        <v>238</v>
      </c>
      <c r="C62" s="3" t="s">
        <v>250</v>
      </c>
      <c r="D62" s="3" t="s">
        <v>251</v>
      </c>
      <c r="E62" s="5" t="s">
        <v>27</v>
      </c>
      <c r="F62" s="3" t="s">
        <v>62</v>
      </c>
      <c r="G62" s="3" t="s">
        <v>241</v>
      </c>
      <c r="H62" s="3"/>
      <c r="I62" s="3" t="s">
        <v>35</v>
      </c>
      <c r="J62" s="3" t="s">
        <v>17</v>
      </c>
      <c r="K62" s="3" t="s">
        <v>246</v>
      </c>
      <c r="L62" s="3" t="s">
        <v>18</v>
      </c>
    </row>
    <row r="63" customFormat="false" ht="23.85" hidden="false" customHeight="false" outlineLevel="0" collapsed="false">
      <c r="A63" s="3" t="s">
        <v>252</v>
      </c>
      <c r="B63" s="3" t="s">
        <v>238</v>
      </c>
      <c r="C63" s="3" t="s">
        <v>253</v>
      </c>
      <c r="D63" s="3" t="s">
        <v>254</v>
      </c>
      <c r="E63" s="5" t="s">
        <v>27</v>
      </c>
      <c r="F63" s="3" t="s">
        <v>49</v>
      </c>
      <c r="G63" s="3" t="s">
        <v>241</v>
      </c>
      <c r="H63" s="3"/>
      <c r="I63" s="3" t="s">
        <v>23</v>
      </c>
      <c r="J63" s="3" t="s">
        <v>17</v>
      </c>
      <c r="K63" s="3" t="s">
        <v>246</v>
      </c>
      <c r="L63" s="3" t="s">
        <v>18</v>
      </c>
    </row>
    <row r="64" customFormat="false" ht="23.85" hidden="false" customHeight="false" outlineLevel="0" collapsed="false">
      <c r="A64" s="3" t="s">
        <v>255</v>
      </c>
      <c r="B64" s="3" t="s">
        <v>238</v>
      </c>
      <c r="C64" s="3" t="s">
        <v>256</v>
      </c>
      <c r="D64" s="3" t="s">
        <v>257</v>
      </c>
      <c r="E64" s="5" t="s">
        <v>27</v>
      </c>
      <c r="F64" s="3" t="s">
        <v>62</v>
      </c>
      <c r="G64" s="3" t="s">
        <v>241</v>
      </c>
      <c r="H64" s="3"/>
      <c r="I64" s="3" t="s">
        <v>64</v>
      </c>
      <c r="J64" s="3" t="s">
        <v>17</v>
      </c>
      <c r="K64" s="3" t="s">
        <v>252</v>
      </c>
      <c r="L64" s="3" t="s">
        <v>18</v>
      </c>
    </row>
    <row r="65" customFormat="false" ht="23.85" hidden="false" customHeight="false" outlineLevel="0" collapsed="false">
      <c r="A65" s="3" t="s">
        <v>258</v>
      </c>
      <c r="B65" s="3" t="s">
        <v>238</v>
      </c>
      <c r="C65" s="3" t="s">
        <v>259</v>
      </c>
      <c r="D65" s="3" t="s">
        <v>260</v>
      </c>
      <c r="E65" s="5" t="s">
        <v>27</v>
      </c>
      <c r="F65" s="3" t="s">
        <v>62</v>
      </c>
      <c r="G65" s="3" t="s">
        <v>241</v>
      </c>
      <c r="H65" s="3"/>
      <c r="I65" s="3" t="s">
        <v>35</v>
      </c>
      <c r="J65" s="3" t="s">
        <v>17</v>
      </c>
      <c r="K65" s="3" t="s">
        <v>243</v>
      </c>
      <c r="L65" s="3" t="s">
        <v>18</v>
      </c>
    </row>
  </sheetData>
  <autoFilter ref="A1:L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5"/>
  </cols>
  <sheetData>
    <row r="1" customFormat="false" ht="15" hidden="false" customHeight="false" outlineLevel="0" collapsed="false">
      <c r="A1" s="1" t="s">
        <v>1</v>
      </c>
      <c r="B1" s="1" t="s">
        <v>261</v>
      </c>
      <c r="C1" s="1" t="s">
        <v>262</v>
      </c>
      <c r="D1" s="1" t="s">
        <v>263</v>
      </c>
      <c r="E1" s="1" t="s">
        <v>9</v>
      </c>
      <c r="F1" s="1" t="s">
        <v>264</v>
      </c>
    </row>
    <row r="2" customFormat="false" ht="15" hidden="false" customHeight="false" outlineLevel="0" collapsed="false">
      <c r="A2" s="3" t="s">
        <v>12</v>
      </c>
      <c r="B2" s="3" t="s">
        <v>265</v>
      </c>
      <c r="C2" s="3" t="n">
        <f aca="false">COUNTIF(Backlog!B:B,"E0")-1</f>
        <v>9</v>
      </c>
      <c r="D2" s="3" t="n">
        <f aca="false">SUMPRODUCT((Backlog!B2:B100="E0")*(Backlog!I2:I100))</f>
        <v>27</v>
      </c>
      <c r="E2" s="3" t="s">
        <v>17</v>
      </c>
      <c r="F2" s="3" t="s">
        <v>266</v>
      </c>
    </row>
    <row r="3" customFormat="false" ht="15" hidden="false" customHeight="false" outlineLevel="0" collapsed="false">
      <c r="A3" s="3" t="s">
        <v>54</v>
      </c>
      <c r="B3" s="3" t="s">
        <v>267</v>
      </c>
      <c r="C3" s="3" t="n">
        <f aca="false">COUNTIF(Backlog!B:B,"E1")-1</f>
        <v>5</v>
      </c>
      <c r="D3" s="3" t="n">
        <f aca="false">SUMPRODUCT((Backlog!B2:B100="E1")*(Backlog!I2:I100))</f>
        <v>26</v>
      </c>
      <c r="E3" s="3" t="s">
        <v>17</v>
      </c>
      <c r="F3" s="3" t="s">
        <v>12</v>
      </c>
    </row>
    <row r="4" customFormat="false" ht="15" hidden="false" customHeight="false" outlineLevel="0" collapsed="false">
      <c r="A4" s="3" t="s">
        <v>80</v>
      </c>
      <c r="B4" s="3" t="s">
        <v>268</v>
      </c>
      <c r="C4" s="3" t="n">
        <f aca="false">COUNTIF(Backlog!B:B,"E2")-1</f>
        <v>8</v>
      </c>
      <c r="D4" s="3" t="n">
        <f aca="false">SUMPRODUCT((Backlog!B2:B100="E2")*(Backlog!I2:I100))</f>
        <v>39</v>
      </c>
      <c r="E4" s="3" t="s">
        <v>17</v>
      </c>
      <c r="F4" s="3" t="s">
        <v>54</v>
      </c>
    </row>
    <row r="5" customFormat="false" ht="15" hidden="false" customHeight="false" outlineLevel="0" collapsed="false">
      <c r="A5" s="3" t="s">
        <v>115</v>
      </c>
      <c r="B5" s="3" t="s">
        <v>269</v>
      </c>
      <c r="C5" s="3" t="n">
        <f aca="false">COUNTIF(Backlog!B:B,"E3")-1</f>
        <v>7</v>
      </c>
      <c r="D5" s="3" t="n">
        <f aca="false">SUMPRODUCT((Backlog!B2:B100="E3")*(Backlog!I2:I100))</f>
        <v>35</v>
      </c>
      <c r="E5" s="3" t="s">
        <v>119</v>
      </c>
      <c r="F5" s="3" t="s">
        <v>80</v>
      </c>
    </row>
    <row r="6" customFormat="false" ht="15" hidden="false" customHeight="false" outlineLevel="0" collapsed="false">
      <c r="A6" s="3" t="s">
        <v>146</v>
      </c>
      <c r="B6" s="3" t="s">
        <v>270</v>
      </c>
      <c r="C6" s="3" t="n">
        <f aca="false">COUNTIF(Backlog!B:B,"E4")-1</f>
        <v>7</v>
      </c>
      <c r="D6" s="3" t="n">
        <f aca="false">SUMPRODUCT((Backlog!B2:B100="E4")*(Backlog!I2:I100))</f>
        <v>38</v>
      </c>
      <c r="E6" s="3" t="s">
        <v>119</v>
      </c>
      <c r="F6" s="3" t="s">
        <v>115</v>
      </c>
    </row>
    <row r="7" customFormat="false" ht="15" hidden="false" customHeight="false" outlineLevel="0" collapsed="false">
      <c r="A7" s="3" t="s">
        <v>177</v>
      </c>
      <c r="B7" s="3" t="s">
        <v>271</v>
      </c>
      <c r="C7" s="3" t="n">
        <f aca="false">COUNTIF(Backlog!B:B,"E5")-1</f>
        <v>7</v>
      </c>
      <c r="D7" s="3" t="n">
        <f aca="false">SUMPRODUCT((Backlog!B2:B100="E5")*(Backlog!I2:I100))</f>
        <v>31</v>
      </c>
      <c r="E7" s="3" t="s">
        <v>181</v>
      </c>
      <c r="F7" s="3" t="s">
        <v>146</v>
      </c>
    </row>
    <row r="8" customFormat="false" ht="15" hidden="false" customHeight="false" outlineLevel="0" collapsed="false">
      <c r="A8" s="3" t="s">
        <v>208</v>
      </c>
      <c r="B8" s="3" t="s">
        <v>272</v>
      </c>
      <c r="C8" s="3" t="n">
        <f aca="false">COUNTIF(Backlog!B:B,"E6")-1</f>
        <v>7</v>
      </c>
      <c r="D8" s="3" t="n">
        <f aca="false">SUMPRODUCT((Backlog!B2:B100="E6")*(Backlog!I2:I100))</f>
        <v>25</v>
      </c>
      <c r="E8" s="3" t="s">
        <v>181</v>
      </c>
      <c r="F8" s="3" t="s">
        <v>177</v>
      </c>
    </row>
    <row r="9" customFormat="false" ht="15" hidden="false" customHeight="false" outlineLevel="0" collapsed="false">
      <c r="A9" s="3" t="s">
        <v>238</v>
      </c>
      <c r="B9" s="3" t="s">
        <v>273</v>
      </c>
      <c r="C9" s="3" t="n">
        <f aca="false">COUNTIF(Backlog!B:B,"E7")-1</f>
        <v>6</v>
      </c>
      <c r="D9" s="3" t="n">
        <f aca="false">SUMPRODUCT((Backlog!B2:B100="E7")*(Backlog!I2:I100))</f>
        <v>27</v>
      </c>
      <c r="E9" s="3" t="s">
        <v>242</v>
      </c>
      <c r="F9" s="3" t="s">
        <v>266</v>
      </c>
    </row>
    <row r="10" customFormat="false" ht="15" hidden="false" customHeight="false" outlineLevel="0" collapsed="false">
      <c r="A10" s="2"/>
      <c r="B10" s="2" t="s">
        <v>274</v>
      </c>
      <c r="C10" s="2" t="n">
        <f aca="false">SUM(C2:C9)</f>
        <v>56</v>
      </c>
      <c r="D10" s="2" t="n">
        <f aca="false">SUM(D2:D9)</f>
        <v>248</v>
      </c>
      <c r="E10" s="2"/>
      <c r="F1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50"/>
    <col collapsed="false" customWidth="true" hidden="false" outlineLevel="0" max="6" min="6" style="0" width="45"/>
  </cols>
  <sheetData>
    <row r="1" customFormat="false" ht="15" hidden="false" customHeight="false" outlineLevel="0" collapsed="false">
      <c r="A1" s="1" t="s">
        <v>275</v>
      </c>
      <c r="B1" s="1" t="s">
        <v>9</v>
      </c>
      <c r="C1" s="1" t="s">
        <v>276</v>
      </c>
      <c r="D1" s="1" t="s">
        <v>277</v>
      </c>
      <c r="E1" s="1" t="s">
        <v>278</v>
      </c>
      <c r="F1" s="1" t="s">
        <v>279</v>
      </c>
    </row>
    <row r="2" customFormat="false" ht="15" hidden="false" customHeight="false" outlineLevel="0" collapsed="false">
      <c r="A2" s="3" t="s">
        <v>280</v>
      </c>
      <c r="B2" s="3" t="s">
        <v>281</v>
      </c>
      <c r="C2" s="3" t="s">
        <v>28</v>
      </c>
      <c r="D2" s="3" t="s">
        <v>12</v>
      </c>
      <c r="E2" s="3" t="s">
        <v>282</v>
      </c>
      <c r="F2" s="3" t="s">
        <v>283</v>
      </c>
    </row>
    <row r="3" customFormat="false" ht="15" hidden="false" customHeight="false" outlineLevel="0" collapsed="false">
      <c r="A3" s="3" t="s">
        <v>284</v>
      </c>
      <c r="B3" s="3" t="s">
        <v>285</v>
      </c>
      <c r="C3" s="3" t="s">
        <v>28</v>
      </c>
      <c r="D3" s="3" t="s">
        <v>286</v>
      </c>
      <c r="E3" s="3" t="s">
        <v>287</v>
      </c>
      <c r="F3" s="3" t="s">
        <v>288</v>
      </c>
    </row>
    <row r="4" customFormat="false" ht="15" hidden="false" customHeight="false" outlineLevel="0" collapsed="false">
      <c r="A4" s="3" t="s">
        <v>289</v>
      </c>
      <c r="B4" s="3" t="s">
        <v>290</v>
      </c>
      <c r="C4" s="3" t="s">
        <v>28</v>
      </c>
      <c r="D4" s="3" t="s">
        <v>80</v>
      </c>
      <c r="E4" s="3" t="s">
        <v>291</v>
      </c>
      <c r="F4" s="3" t="s">
        <v>292</v>
      </c>
    </row>
    <row r="5" customFormat="false" ht="15" hidden="false" customHeight="false" outlineLevel="0" collapsed="false">
      <c r="A5" s="3" t="s">
        <v>293</v>
      </c>
      <c r="B5" s="3" t="s">
        <v>294</v>
      </c>
      <c r="C5" s="3" t="s">
        <v>28</v>
      </c>
      <c r="D5" s="3" t="s">
        <v>115</v>
      </c>
      <c r="E5" s="3" t="s">
        <v>295</v>
      </c>
      <c r="F5" s="3" t="s">
        <v>296</v>
      </c>
    </row>
    <row r="6" customFormat="false" ht="15" hidden="false" customHeight="false" outlineLevel="0" collapsed="false">
      <c r="A6" s="3" t="s">
        <v>297</v>
      </c>
      <c r="B6" s="3" t="s">
        <v>298</v>
      </c>
      <c r="C6" s="3" t="s">
        <v>149</v>
      </c>
      <c r="D6" s="3" t="s">
        <v>146</v>
      </c>
      <c r="E6" s="3" t="s">
        <v>299</v>
      </c>
      <c r="F6" s="3" t="s">
        <v>300</v>
      </c>
    </row>
    <row r="7" customFormat="false" ht="15" hidden="false" customHeight="false" outlineLevel="0" collapsed="false">
      <c r="A7" s="3" t="s">
        <v>301</v>
      </c>
      <c r="B7" s="3" t="s">
        <v>302</v>
      </c>
      <c r="C7" s="3" t="s">
        <v>35</v>
      </c>
      <c r="D7" s="3" t="s">
        <v>303</v>
      </c>
      <c r="E7" s="3" t="s">
        <v>304</v>
      </c>
      <c r="F7" s="3" t="s">
        <v>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2026-04-12T20:48:01Z</dcterms:created>
  <dc:creator>openpyxl</dc:creator>
  <dc:description/>
  <dc:language>en-US</dc:language>
  <cp:lastModifiedBy/>
  <dcterms:modified xsi:type="dcterms:W3CDTF">2026-04-12T20:48:01Z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